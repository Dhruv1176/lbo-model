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ssumptions" sheetId="2" state="visible" r:id="rId4"/>
    <sheet name="Transaction" sheetId="3" state="visible" r:id="rId5"/>
    <sheet name="Operating Model" sheetId="4" state="visible" r:id="rId6"/>
    <sheet name="Debt Schedule" sheetId="5" state="visible" r:id="rId7"/>
    <sheet name="Balance Sheet" sheetId="6" state="visible" r:id="rId8"/>
    <sheet name="Returns" sheetId="7" state="visible" r:id="rId9"/>
    <sheet name="Credit Stats" sheetId="8" state="visible" r:id="rId10"/>
    <sheet name="Sensitivity" sheetId="9" state="visible" r:id="rId11"/>
    <sheet name="Scenarios" sheetId="10" state="visible" r:id="rId12"/>
    <sheet name="Check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<sst xmlns="http://schemas.openxmlformats.org/spreadsheetml/2006/main" count="481" uniqueCount="316">
  <si>
    <t xml:space="preserve">Project Atlas: Leveraged Buyout Model</t>
  </si>
  <si>
    <t xml:space="preserve">($ in millions) | FICTIONAL company with illustrative assumptions | educational model, not investment advice</t>
  </si>
  <si>
    <t xml:space="preserve">TRANSACTION</t>
  </si>
  <si>
    <t xml:space="preserve">RETURNS (selected exit year)</t>
  </si>
  <si>
    <t xml:space="preserve">Scenario (1 Base / 2 Up / 3 Down)</t>
  </si>
  <si>
    <t xml:space="preserve">Exit year</t>
  </si>
  <si>
    <t xml:space="preserve">Entry EV</t>
  </si>
  <si>
    <t xml:space="preserve">Exit multiple</t>
  </si>
  <si>
    <t xml:space="preserve">Entry EV / LTM EBITDA</t>
  </si>
  <si>
    <t xml:space="preserve">Sponsor IRR</t>
  </si>
  <si>
    <t xml:space="preserve">Entry EV / LTM revenue</t>
  </si>
  <si>
    <t xml:space="preserve">Sponsor MOIC</t>
  </si>
  <si>
    <t xml:space="preserve">Total leverage at close (x EBITDA)</t>
  </si>
  <si>
    <t xml:space="preserve">Sponsor proceeds</t>
  </si>
  <si>
    <t xml:space="preserve">Sponsor equity</t>
  </si>
  <si>
    <t xml:space="preserve">Model integrity</t>
  </si>
  <si>
    <t xml:space="preserve">Equity % of capitalisation</t>
  </si>
  <si>
    <t xml:space="preserve">SOURCES &amp; USES</t>
  </si>
  <si>
    <t xml:space="preserve">Revolver</t>
  </si>
  <si>
    <t xml:space="preserve">Purchase of enterprise</t>
  </si>
  <si>
    <t xml:space="preserve">Term Loan B</t>
  </si>
  <si>
    <t xml:space="preserve">Transaction fees</t>
  </si>
  <si>
    <t xml:space="preserve">Senior notes</t>
  </si>
  <si>
    <t xml:space="preserve">Financing fees</t>
  </si>
  <si>
    <t xml:space="preserve">Minimum cash</t>
  </si>
  <si>
    <t xml:space="preserve">Total sources</t>
  </si>
  <si>
    <t xml:space="preserve">Total uses</t>
  </si>
  <si>
    <t xml:space="preserve">FINANCIAL SUMMARY</t>
  </si>
  <si>
    <t xml:space="preserve">Close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</si>
  <si>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</si>
  <si>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</si>
  <si>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</si>
  <si>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</si>
  <si>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</si>
  <si>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</t>
  </si>
  <si>
    <t xml:space="preserve">  % growth</t>
  </si>
  <si>
    <t xml:space="preserve">EBITDA</t>
  </si>
  <si>
    <t xml:space="preserve">  % margin</t>
  </si>
  <si>
    <t xml:space="preserve">Free cash flow (after debt service)</t>
  </si>
  <si>
    <t xml:space="preserve">Net debt</t>
  </si>
  <si>
    <t xml:space="preserve">Net debt / EBITDA</t>
  </si>
  <si>
    <t xml:space="preserve">EBITDA / cash interest</t>
  </si>
  <si>
    <t xml:space="preserve">Covenant status</t>
  </si>
  <si>
    <t xml:space="preserve">Assumptions &amp; Inputs</t>
  </si>
  <si>
    <t xml:space="preserve">($ in millions unless stated)  |  Project Atlas is a FICTIONAL company; all inputs are illustrative</t>
  </si>
  <si>
    <t xml:space="preserve">Legend: blue = input you can change · black = formula · green = link to another sheet · yellow fill = key deal lever</t>
  </si>
  <si>
    <t xml:space="preserve">Unit</t>
  </si>
  <si>
    <t xml:space="preserve">Close / LTM</t>
  </si>
  <si>
    <t xml:space="preserve">Basis / source</t>
  </si>
  <si>
    <t xml:space="preserve">GENERAL</t>
  </si>
  <si>
    <t xml:space="preserve">Operating scenario (1 = Base, 2 = Upside, 3 = Downside)</t>
  </si>
  <si>
    <t xml:space="preserve">Scenario switch: drives the whole workbook live</t>
  </si>
  <si>
    <t xml:space="preserve">LTM revenue</t>
  </si>
  <si>
    <t xml:space="preserve">Illustrative assumption (fictional company)</t>
  </si>
  <si>
    <t xml:space="preserve">LTM EBITDA</t>
  </si>
  <si>
    <t xml:space="preserve">Illustrative assumption: 20% LTM EBITDA margin</t>
  </si>
  <si>
    <t xml:space="preserve">Net PP&amp;E at close</t>
  </si>
  <si>
    <t xml:space="preserve">Illustrative assumption; used for the opening balance sheet</t>
  </si>
  <si>
    <t xml:space="preserve">Illustrative; mid-market industrial services deals typically price ~9x to 13x</t>
  </si>
  <si>
    <t xml:space="preserve">Transaction fees (% of EV)</t>
  </si>
  <si>
    <t xml:space="preserve">Advisory, legal, diligence; capitalised into goodwill (simplification)</t>
  </si>
  <si>
    <t xml:space="preserve">Financing fees (% of debt raised + revolver commitment)</t>
  </si>
  <si>
    <t xml:space="preserve">Underwriting / OID proxy; capitalised and amortised straight-line, tax-deductible</t>
  </si>
  <si>
    <t xml:space="preserve">Financing fee amortisation period (years)</t>
  </si>
  <si>
    <t xml:space="preserve">Matches Term Loan B tenor</t>
  </si>
  <si>
    <t xml:space="preserve">Minimum cash (funded at close)</t>
  </si>
  <si>
    <t xml:space="preserve">Operating cash buffer; revolver funds any shortfall below this level</t>
  </si>
  <si>
    <t xml:space="preserve">EXIT</t>
  </si>
  <si>
    <t xml:space="preserve">Exit year (1 to 5)</t>
  </si>
  <si>
    <t xml:space="preserve">Hold period in years (1 to 5)</t>
  </si>
  <si>
    <t xml:space="preserve">Exit EV / EBITDA</t>
  </si>
  <si>
    <t xml:space="preserve">Base case assumes NO multiple expansion (exit = entry)</t>
  </si>
  <si>
    <t xml:space="preserve">Management incentive plan (% of equity gain)</t>
  </si>
  <si>
    <t xml:space="preserve">Illustrative; applied to the equity gain at exit</t>
  </si>
  <si>
    <t xml:space="preserve">FINANCING</t>
  </si>
  <si>
    <t xml:space="preserve">Revolver commitment</t>
  </si>
  <si>
    <t xml:space="preserve">Illustrative revolving credit facility size</t>
  </si>
  <si>
    <t xml:space="preserve">Revolver drawn at close</t>
  </si>
  <si>
    <t xml:space="preserve">Undrawn at close</t>
  </si>
  <si>
    <t xml:space="preserve">Revolver spread over SOFR</t>
  </si>
  <si>
    <t xml:space="preserve">Illustrative</t>
  </si>
  <si>
    <t xml:space="preserve">Revolver undrawn commitment fee</t>
  </si>
  <si>
    <t xml:space="preserve">Term Loan B (x LTM EBITDA)</t>
  </si>
  <si>
    <t xml:space="preserve">Illustrative senior secured leverage</t>
  </si>
  <si>
    <t xml:space="preserve">Term Loan B spread over SOFR</t>
  </si>
  <si>
    <t xml:space="preserve">Illustrative spread for a single-B credit</t>
  </si>
  <si>
    <t xml:space="preserve">Term Loan B mandatory amortisation (% of original, p.a.)</t>
  </si>
  <si>
    <t xml:space="preserve">Standard 1% p.a. mandatory amortisation</t>
  </si>
  <si>
    <t xml:space="preserve">Excess cash flow sweep to Term Loan B</t>
  </si>
  <si>
    <t xml:space="preserve">Excess cash flow sweep; remainder builds on balance sheet</t>
  </si>
  <si>
    <t xml:space="preserve">Senior unsecured notes (x LTM EBITDA)</t>
  </si>
  <si>
    <t xml:space="preserve">Illustrative junior leverage; bullet maturity, non-callable in model</t>
  </si>
  <si>
    <t xml:space="preserve">Senior notes fixed coupon</t>
  </si>
  <si>
    <t xml:space="preserve">Illustrative fixed coupon</t>
  </si>
  <si>
    <t xml:space="preserve">Interest rate earned on cash</t>
  </si>
  <si>
    <t xml:space="preserve">Interest on beginning-of-year cash</t>
  </si>
  <si>
    <t xml:space="preserve">TAX AND OPERATING</t>
  </si>
  <si>
    <t xml:space="preserve">Cash tax rate</t>
  </si>
  <si>
    <t xml:space="preserve">Blended federal + state, illustrative</t>
  </si>
  <si>
    <t xml:space="preserve">Apply 163(j)-style interest cap (1 = yes)</t>
  </si>
  <si>
    <t xml:space="preserve">1 = deduct at most cap% x EBITDA of net interest; disallowed amount is lost (no carry-forward, conservative)</t>
  </si>
  <si>
    <t xml:space="preserve">Interest deduction cap (% of EBITDA)</t>
  </si>
  <si>
    <t xml:space="preserve">Section 163(j) uses ~30% of adjusted taxable income</t>
  </si>
  <si>
    <t xml:space="preserve">D&amp;A (% of revenue)</t>
  </si>
  <si>
    <t xml:space="preserve">Capex (% of revenue)</t>
  </si>
  <si>
    <t xml:space="preserve">Illustrative; above D&amp;A = growth capex</t>
  </si>
  <si>
    <t xml:space="preserve">Net working capital (% of revenue)</t>
  </si>
  <si>
    <t xml:space="preserve">Illustrative; cash is absorbed as revenue grows</t>
  </si>
  <si>
    <t xml:space="preserve">TIME-SERIES INPUTS</t>
  </si>
  <si>
    <t xml:space="preserve">SOFR forward curve</t>
  </si>
  <si>
    <t xml:space="preserve">Illustrative forward curve; Term Loan B and revolver float over this</t>
  </si>
  <si>
    <t xml:space="preserve">Maximum Net Debt / EBITDA covenant</t>
  </si>
  <si>
    <t xml:space="preserve">Illustrative maintenance covenant with annual step-downs</t>
  </si>
  <si>
    <t xml:space="preserve">SCENARIO LEVERS</t>
  </si>
  <si>
    <t xml:space="preserve">Revenue growth: Base</t>
  </si>
  <si>
    <t xml:space="preserve">Base: steady mid-single-digit organic growth</t>
  </si>
  <si>
    <t xml:space="preserve">Revenue growth: Upside</t>
  </si>
  <si>
    <t xml:space="preserve">Upside: share gains and pricing</t>
  </si>
  <si>
    <t xml:space="preserve">Revenue growth: Downside</t>
  </si>
  <si>
    <t xml:space="preserve">Downside: mild recession in Year 2, slow recovery</t>
  </si>
  <si>
    <t xml:space="preserve">EBITDA margin: Base</t>
  </si>
  <si>
    <t xml:space="preserve">Base: modest operating leverage</t>
  </si>
  <si>
    <t xml:space="preserve">EBITDA margin: Upside</t>
  </si>
  <si>
    <t xml:space="preserve">Upside: stronger operating leverage</t>
  </si>
  <si>
    <t xml:space="preserve">EBITDA margin: Downside</t>
  </si>
  <si>
    <t xml:space="preserve">Downside: margin compression in the recession</t>
  </si>
  <si>
    <t xml:space="preserve">Revenue growth: SELECTED</t>
  </si>
  <si>
    <t xml:space="preserve">Formula: picks the scenario chosen above</t>
  </si>
  <si>
    <t xml:space="preserve">EBITDA margin: SELECTED</t>
  </si>
  <si>
    <t xml:space="preserve">Transaction: Sources &amp; Uses</t>
  </si>
  <si>
    <t xml:space="preserve">$mm</t>
  </si>
  <si>
    <t xml:space="preserve">% of total</t>
  </si>
  <si>
    <t xml:space="preserve">x LTM EBITDA</t>
  </si>
  <si>
    <t xml:space="preserve">PURCHASE PRICE</t>
  </si>
  <si>
    <t xml:space="preserve">Note: sponsor equity is the balancing item. Transaction fees are capitalised into goodwill for simplicity.</t>
  </si>
  <si>
    <t xml:space="preserve">Entry multiple (EV / LTM EBITDA)</t>
  </si>
  <si>
    <t xml:space="preserve">Enterprise value (cash-free, debt-free)</t>
  </si>
  <si>
    <t xml:space="preserve">EV / LTM revenue</t>
  </si>
  <si>
    <t xml:space="preserve">SOURCES OF FUNDS</t>
  </si>
  <si>
    <t xml:space="preserve">Revolver (drawn)</t>
  </si>
  <si>
    <t xml:space="preserve">Senior unsecured notes</t>
  </si>
  <si>
    <t xml:space="preserve">Sponsor equity (plug)</t>
  </si>
  <si>
    <t xml:space="preserve">USES OF FUNDS</t>
  </si>
  <si>
    <t xml:space="preserve">Financing fees (capitalised)</t>
  </si>
  <si>
    <t xml:space="preserve">Cash to balance sheet (minimum cash)</t>
  </si>
  <si>
    <t xml:space="preserve">DERIVED</t>
  </si>
  <si>
    <t xml:space="preserve">Sponsor equity as % of total capitalisation</t>
  </si>
  <si>
    <t xml:space="preserve">Opening net working capital</t>
  </si>
  <si>
    <t xml:space="preserve">Goodwill created (EV + fees - NWC - net PP&amp;E)</t>
  </si>
  <si>
    <t xml:space="preserve">Annual financing fee amortisation</t>
  </si>
  <si>
    <t xml:space="preserve">Operating Model: Income Statement &amp; Cash Flow</t>
  </si>
  <si>
    <t xml:space="preserve">INCOME STATEMENT</t>
  </si>
  <si>
    <t xml:space="preserve">%</t>
  </si>
  <si>
    <t xml:space="preserve">Less: depreciation &amp; amortisation</t>
  </si>
  <si>
    <t xml:space="preserve">EBIT</t>
  </si>
  <si>
    <t xml:space="preserve">Less: cash interest expense (incl. undrawn fees)</t>
  </si>
  <si>
    <t xml:space="preserve">Plus: interest income</t>
  </si>
  <si>
    <t xml:space="preserve">Less: amortisation of financing fees</t>
  </si>
  <si>
    <t xml:space="preserve">Pre-tax income</t>
  </si>
  <si>
    <t xml:space="preserve">TAX CALCULATION</t>
  </si>
  <si>
    <t xml:space="preserve">Net interest expense (incl. fee amortisation)</t>
  </si>
  <si>
    <t xml:space="preserve">Deductible interest cap (cap % x EBITDA)</t>
  </si>
  <si>
    <t xml:space="preserve">Disallowed interest (added back for tax)</t>
  </si>
  <si>
    <t xml:space="preserve">Taxable income</t>
  </si>
  <si>
    <t xml:space="preserve">Cash taxes</t>
  </si>
  <si>
    <t xml:space="preserve">Net income</t>
  </si>
  <si>
    <t xml:space="preserve">CASH FLOW</t>
  </si>
  <si>
    <t xml:space="preserve">Plus: D&amp;A</t>
  </si>
  <si>
    <t xml:space="preserve">Plus: financing fee amortisation (non-cash)</t>
  </si>
  <si>
    <t xml:space="preserve">Net working capital (balance)</t>
  </si>
  <si>
    <t xml:space="preserve">Less: increase in NWC</t>
  </si>
  <si>
    <t xml:space="preserve">Less: capital expenditures</t>
  </si>
  <si>
    <t xml:space="preserve">Free cash flow available for debt repayment</t>
  </si>
  <si>
    <t xml:space="preserve">  FCF / EBITDA</t>
  </si>
  <si>
    <t xml:space="preserve">UNLEVERED FREE CASH FLOW (memo)</t>
  </si>
  <si>
    <t xml:space="preserve">Unlevered taxes (EBIT x tax rate)</t>
  </si>
  <si>
    <t xml:space="preserve">Unlevered free cash flow</t>
  </si>
  <si>
    <t xml:space="preserve">Debt Schedule &amp; Cash Sweep</t>
  </si>
  <si>
    <t xml:space="preserve">CASH WATERFALL</t>
  </si>
  <si>
    <t xml:space="preserve">Beginning cash</t>
  </si>
  <si>
    <t xml:space="preserve">Plus: free cash flow (after interest and taxes)</t>
  </si>
  <si>
    <t xml:space="preserve">Less: mandatory Term Loan B amortisation</t>
  </si>
  <si>
    <t xml:space="preserve">Less: minimum cash</t>
  </si>
  <si>
    <t xml:space="preserve">Cash available for revolver / sweep (negative = shortfall)</t>
  </si>
  <si>
    <t xml:space="preserve">Revolver draw / (repayment)</t>
  </si>
  <si>
    <t xml:space="preserve">Cash available for sweep</t>
  </si>
  <si>
    <t xml:space="preserve">Term Loan B cash sweep</t>
  </si>
  <si>
    <t xml:space="preserve">Ending cash</t>
  </si>
  <si>
    <t xml:space="preserve">REVOLVER</t>
  </si>
  <si>
    <t xml:space="preserve">Beginning balance</t>
  </si>
  <si>
    <t xml:space="preserve">Draw / (repayment)</t>
  </si>
  <si>
    <t xml:space="preserve">Ending balance</t>
  </si>
  <si>
    <t xml:space="preserve">Undrawn availability</t>
  </si>
  <si>
    <t xml:space="preserve">TERM LOAN B</t>
  </si>
  <si>
    <t xml:space="preserve">Mandatory amortisation</t>
  </si>
  <si>
    <t xml:space="preserve">Cash sweep</t>
  </si>
  <si>
    <t xml:space="preserve">SENIOR UNSECURED NOTES (bullet)</t>
  </si>
  <si>
    <t xml:space="preserve">TOTALS</t>
  </si>
  <si>
    <t xml:space="preserve">Total debt</t>
  </si>
  <si>
    <t xml:space="preserve">Net debt (total debt less cash)</t>
  </si>
  <si>
    <t xml:space="preserve">INTEREST (on beginning balances, no circularity)</t>
  </si>
  <si>
    <t xml:space="preserve">SOFR</t>
  </si>
  <si>
    <t xml:space="preserve">Revolver all-in rate</t>
  </si>
  <si>
    <t xml:space="preserve">Term Loan B all-in rate</t>
  </si>
  <si>
    <t xml:space="preserve">Revolver interest</t>
  </si>
  <si>
    <t xml:space="preserve">Revolver undrawn fee</t>
  </si>
  <si>
    <t xml:space="preserve">Term Loan B interest</t>
  </si>
  <si>
    <t xml:space="preserve">Senior notes interest</t>
  </si>
  <si>
    <t xml:space="preserve">Total cash interest expense</t>
  </si>
  <si>
    <t xml:space="preserve">Interest income on beginning cash</t>
  </si>
  <si>
    <t xml:space="preserve">Pro-Forma Balance Sheet</t>
  </si>
  <si>
    <t xml:space="preserve">ASSETS</t>
  </si>
  <si>
    <t xml:space="preserve">Cash</t>
  </si>
  <si>
    <t xml:space="preserve">Net working capital</t>
  </si>
  <si>
    <t xml:space="preserve">Net PP&amp;E</t>
  </si>
  <si>
    <t xml:space="preserve">Goodwill &amp; intangibles</t>
  </si>
  <si>
    <t xml:space="preserve">Capitalised financing fees</t>
  </si>
  <si>
    <t xml:space="preserve">Total assets</t>
  </si>
  <si>
    <t xml:space="preserve">LIABILITIES &amp; EQUITY</t>
  </si>
  <si>
    <t xml:space="preserve">Sponsor equity contributed</t>
  </si>
  <si>
    <t xml:space="preserve">Retained earnings</t>
  </si>
  <si>
    <t xml:space="preserve">Total equity</t>
  </si>
  <si>
    <t xml:space="preserve">Total liabilities &amp; equity</t>
  </si>
  <si>
    <t xml:space="preserve">Balance check (assets - liabilities &amp; equity)</t>
  </si>
  <si>
    <t xml:space="preserve">Returns Analysis</t>
  </si>
  <si>
    <t xml:space="preserve">RETURNS BY EXIT YEAR (exit at the Exit Multiple on that year's EBITDA)</t>
  </si>
  <si>
    <t xml:space="preserve">EBITDA at exit</t>
  </si>
  <si>
    <t xml:space="preserve">Enterprise value at exit</t>
  </si>
  <si>
    <t xml:space="preserve">Less: net debt at exit</t>
  </si>
  <si>
    <t xml:space="preserve">Equity value at exit (100%)</t>
  </si>
  <si>
    <t xml:space="preserve">Sponsor equity invested at close</t>
  </si>
  <si>
    <t xml:space="preserve">Equity gain</t>
  </si>
  <si>
    <t xml:space="preserve">Less: management incentive plan</t>
  </si>
  <si>
    <t xml:space="preserve">MOIC</t>
  </si>
  <si>
    <t xml:space="preserve">x</t>
  </si>
  <si>
    <t xml:space="preserve">IRR</t>
  </si>
  <si>
    <t xml:space="preserve">SELECTED EXIT YEAR</t>
  </si>
  <si>
    <t xml:space="preserve">Exit year selected</t>
  </si>
  <si>
    <t xml:space="preserve">Sponsor cash flows (for IRR function)</t>
  </si>
  <si>
    <t xml:space="preserve">IRR via Excel IRR() function (cross-check)</t>
  </si>
  <si>
    <t xml:space="preserve">VALUE CREATION BRIDGE (selected exit year)</t>
  </si>
  <si>
    <t xml:space="preserve">% of gain</t>
  </si>
  <si>
    <t xml:space="preserve">Revenue growth (at entry margin and multiple)</t>
  </si>
  <si>
    <t xml:space="preserve">Margin expansion (at entry multiple)</t>
  </si>
  <si>
    <t xml:space="preserve">Multiple expansion / (contraction)</t>
  </si>
  <si>
    <t xml:space="preserve">Deleveraging (net debt reduction)</t>
  </si>
  <si>
    <t xml:space="preserve">Fees and expenses</t>
  </si>
  <si>
    <t xml:space="preserve">Management incentive plan</t>
  </si>
  <si>
    <t xml:space="preserve">Total sponsor gain</t>
  </si>
  <si>
    <t xml:space="preserve">Check vs. proceeds less equity invested</t>
  </si>
  <si>
    <t xml:space="preserve">Credit Statistics &amp; Covenant Headroom</t>
  </si>
  <si>
    <t xml:space="preserve">LEVERAGE</t>
  </si>
  <si>
    <t xml:space="preserve">Total debt / EBITDA</t>
  </si>
  <si>
    <t xml:space="preserve">Senior secured debt / EBITDA</t>
  </si>
  <si>
    <t xml:space="preserve">COVERAGE</t>
  </si>
  <si>
    <t xml:space="preserve">(EBITDA - capex) / cash interest</t>
  </si>
  <si>
    <t xml:space="preserve">Fixed-charge coverage: (EBITDA - capex - taxes) / (interest + mandatory amortisation)</t>
  </si>
  <si>
    <t xml:space="preserve">DELEVERAGING</t>
  </si>
  <si>
    <t xml:space="preserve">FCF / total debt</t>
  </si>
  <si>
    <t xml:space="preserve">Cumulative debt paydown (% of debt at close)</t>
  </si>
  <si>
    <t xml:space="preserve">COVENANT (maximum net leverage)</t>
  </si>
  <si>
    <t xml:space="preserve">Covenant level</t>
  </si>
  <si>
    <t xml:space="preserve">Leverage headroom (% below covenant)</t>
  </si>
  <si>
    <t xml:space="preserve">EBITDA cushion (% EBITDA can fall before breach)</t>
  </si>
  <si>
    <t xml:space="preserve">Sensitivity Analysis</t>
  </si>
  <si>
    <t xml:space="preserve">Tables 1-3 are LIVE closed-form formulas (debt schedule is independent of entry/exit multiple). Tables 4-5 are STATIC snapshots from the Python engine.</t>
  </si>
  <si>
    <t xml:space="preserve">Live helper cells</t>
  </si>
  <si>
    <t xml:space="preserve">Exit year (N)</t>
  </si>
  <si>
    <t xml:space="preserve">Net debt at exit</t>
  </si>
  <si>
    <t xml:space="preserve">Funded debt at close</t>
  </si>
  <si>
    <t xml:space="preserve">Minimum cash funded</t>
  </si>
  <si>
    <t xml:space="preserve">Transaction fee %</t>
  </si>
  <si>
    <t xml:space="preserve">MIP %</t>
  </si>
  <si>
    <t xml:space="preserve">Base entry multiple</t>
  </si>
  <si>
    <t xml:space="preserve">Base exit multiple</t>
  </si>
  <si>
    <t xml:space="preserve">Sponsor equity at close</t>
  </si>
  <si>
    <t xml:space="preserve">Entry multiple step (x)</t>
  </si>
  <si>
    <t xml:space="preserve">Exit multiple step (x)</t>
  </si>
  <si>
    <t xml:space="preserve">Table 1: Sponsor IRR, entry multiple (rows) vs exit multiple (columns), selected exit year</t>
  </si>
  <si>
    <t xml:space="preserve">Entry \ Exit</t>
  </si>
  <si>
    <t xml:space="preserve">Table 2: Sponsor MOIC, entry multiple vs exit multiple</t>
  </si>
  <si>
    <t xml:space="preserve">Table 3: Sponsor IRR, exit year (rows) vs exit multiple (columns), base entry</t>
  </si>
  <si>
    <t xml:space="preserve">Year \ Exit</t>
  </si>
  <si>
    <t xml:space="preserve">Table 4 (STATIC, Base case): IRR, Term Loan B leverage (rows, x EBITDA) vs exit multiple</t>
  </si>
  <si>
    <t xml:space="preserve">TLB x \ Exit</t>
  </si>
  <si>
    <t xml:space="preserve">Table 5 (STATIC, Base case): IRR, EBITDA-margin shift (rows) vs revenue-growth shift (columns), every year</t>
  </si>
  <si>
    <t xml:space="preserve">Margin Δ \ Growth Δ</t>
  </si>
  <si>
    <t xml:space="preserve">Scenario Comparison</t>
  </si>
  <si>
    <t xml:space="preserve">Base / Upside / Downside columns are STATIC snapshots from the Python engine (all other inputs as in Assumptions). The LIVE column follows the scenario switch.</t>
  </si>
  <si>
    <t xml:space="preserve">Metric (exit year per Assumptions)</t>
  </si>
  <si>
    <t xml:space="preserve">Base</t>
  </si>
  <si>
    <t xml:space="preserve">Upside</t>
  </si>
  <si>
    <t xml:space="preserve">Downside</t>
  </si>
  <si>
    <t xml:space="preserve">LIVE (selected)</t>
  </si>
  <si>
    <t xml:space="preserve">Revenue at exit</t>
  </si>
  <si>
    <t xml:space="preserve">EBITDA margin at exit</t>
  </si>
  <si>
    <t xml:space="preserve">Cumulative free cash flow to exit</t>
  </si>
  <si>
    <t xml:space="preserve">Net debt / EBITDA at exit</t>
  </si>
  <si>
    <t xml:space="preserve">Minimum interest coverage (5-yr)</t>
  </si>
  <si>
    <t xml:space="preserve">Peak revolver draw (5-yr)</t>
  </si>
  <si>
    <t xml:space="preserve">Covenant breaches (count, 5-yr)</t>
  </si>
  <si>
    <t xml:space="preserve">Sponsor equity value at exit (100%)</t>
  </si>
  <si>
    <t xml:space="preserve">Model Integrity Checks</t>
  </si>
  <si>
    <t xml:space="preserve">Check</t>
  </si>
  <si>
    <t xml:space="preserve">Value</t>
  </si>
  <si>
    <t xml:space="preserve">Status</t>
  </si>
  <si>
    <t xml:space="preserve">Sources equal uses</t>
  </si>
  <si>
    <t xml:space="preserve">Balance sheet balances in every period (max abs difference)</t>
  </si>
  <si>
    <t xml:space="preserve">Cash never below minimum cash (shortfall, 0 = fine)</t>
  </si>
  <si>
    <t xml:space="preserve">Revolver within commitment (excess draw, 0 = fine)</t>
  </si>
  <si>
    <t xml:space="preserve">No negative debt balances (most negative, 0 = fine)</t>
  </si>
  <si>
    <t xml:space="preserve">Closed-form IRR equals Excel IRR() function</t>
  </si>
  <si>
    <t xml:space="preserve">Value-creation bridge reconciles to sponsor gain</t>
  </si>
  <si>
    <t xml:space="preserve">Exit year is an integer between 1 and 5</t>
  </si>
  <si>
    <t xml:space="preserve">Scenario selector is 1, 2 or 3</t>
  </si>
  <si>
    <t xml:space="preserve">MASTER CHECK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</si>
</sst>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\$#,##0.0;&quot;($&quot;#,##0.0\);\-"/>
    <numFmt numFmtId="167" formatCode="0.0\x;\(0.0&quot;x)&quot;;\-"/>
    <numFmt numFmtId="168" formatCode="0.0%;\(0.0%\);\-"/>
    <numFmt numFmtId="169" formatCode="0.00\x;\(0.00&quot;x)&quot;;\-"/>
    <numFmt numFmtId="170" formatCode="#,##0.0;\(#,##0.0\);\-"/>
    <numFmt numFmtId="171" formatCode="\+0.0%;\-0.0%;0.0%"/>
    <numFmt numFmtId="172" formatCode="0.000000;\-0.000000;0.000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7F7F7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C6EFCE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0C0C0"/>
      <rgbColor rgb="FF7F7F7F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70AD47"/>
      <rgbColor rgb="FFFFC000"/>
      <rgbColor rgb="FFFF9900"/>
      <rgbColor rgb="FFED7D31"/>
      <rgbColor rgb="FF595959"/>
      <rgbColor rgb="FF878787"/>
      <rgbColor rgb="FF1F3864"/>
      <rgbColor rgb="FF4A7EBB"/>
      <rgbColor rgb="FF0061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debt / EBITDA vs covenant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"Net debt / EBITDA"</c:f>
              <c:strCache>
                <c:ptCount val="1"/>
                <c:pt idx="0">
                  <c:v>Net debt / EBITDA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'Credit Stats'!$C$4:$H$4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Close / LTM</c:v>
                  </c:pt>
                </c:lvl>
              </c:multiLvlStrCache>
            </c:multiLvlStrRef>
          </c:cat>
          <c:val>
            <c:numRef>
              <c:f>'Credit Stats'!$C$8:$H$8</c:f>
              <c:numCache>
                <c:formatCode>0.00\x;\(0.00"x)";\-</c:formatCode>
                <c:ptCount val="6"/>
                <c:pt idx="0">
                  <c:v>5.3</c:v>
                </c:pt>
                <c:pt idx="1">
                  <c:v>4.60712901755186</c:v>
                </c:pt>
                <c:pt idx="2">
                  <c:v>3.91611907127468</c:v>
                </c:pt>
                <c:pt idx="3">
                  <c:v>3.25960360809604</c:v>
                </c:pt>
                <c:pt idx="4">
                  <c:v>2.61455646555998</c:v>
                </c:pt>
                <c:pt idx="5">
                  <c:v>2.06628342806459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"Covenant max"</c:f>
              <c:strCache>
                <c:ptCount val="1"/>
                <c:pt idx="0">
                  <c:v>Covenant max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'Credit Stats'!$C$4:$H$4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Close / LTM</c:v>
                  </c:pt>
                </c:lvl>
              </c:multiLvlStrCache>
            </c:multiLvlStrRef>
          </c:cat>
          <c:val>
            <c:numRef>
              <c:f>'Credit Stats'!$C$21:$H$21</c:f>
              <c:numCache>
                <c:formatCode>0.00\x;\(0.00"x)";\-</c:formatCode>
                <c:ptCount val="6"/>
                <c:pt idx="1">
                  <c:v>7</c:v>
                </c:pt>
                <c:pt idx="2">
                  <c:v>6.75</c:v>
                </c:pt>
                <c:pt idx="3">
                  <c:v>6.5</c:v>
                </c:pt>
                <c:pt idx="4">
                  <c:v>6.25</c:v>
                </c:pt>
                <c:pt idx="5">
                  <c:v>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060876"/>
        <c:axId val="2602583"/>
      </c:lineChart>
      <c:catAx>
        <c:axId val="210608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02583"/>
        <c:crosses val="autoZero"/>
        <c:auto val="1"/>
        <c:lblAlgn val="ctr"/>
        <c:lblOffset val="100"/>
        <c:noMultiLvlLbl val="0"/>
      </c:catAx>
      <c:valAx>
        <c:axId val="26025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\x;\(0.00&quot;x)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608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EBITDA and free cash flow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'Operating Model'!$D$4:$H$4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'Operating Model'!$D$9:$H$9</c:f>
              <c:numCache>
                <c:formatCode>\$#,##0.0;"($"#,##0.0\);\-</c:formatCode>
                <c:ptCount val="5"/>
                <c:pt idx="0">
                  <c:v>109.675</c:v>
                </c:pt>
                <c:pt idx="1">
                  <c:v>120.2145</c:v>
                </c:pt>
                <c:pt idx="2">
                  <c:v>130.461355</c:v>
                </c:pt>
                <c:pt idx="3">
                  <c:v>141.5050604</c:v>
                </c:pt>
                <c:pt idx="4">
                  <c:v>148.58031342</c:v>
                </c:pt>
              </c:numCache>
            </c:numRef>
          </c:val>
        </c:ser>
        <c:ser>
          <c:idx val="1"/>
          <c:order val="1"/>
          <c:tx>
            <c:strRef>
              <c:f>"Free cash flow"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'Operating Model'!$D$4:$H$4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'Operating Model'!$D$33:$H$33</c:f>
              <c:numCache>
                <c:formatCode>\$#,##0.0;"($"#,##0.0\);\-</c:formatCode>
                <c:ptCount val="5"/>
                <c:pt idx="0">
                  <c:v>24.713125</c:v>
                </c:pt>
                <c:pt idx="1">
                  <c:v>34.51257890625</c:v>
                </c:pt>
                <c:pt idx="2">
                  <c:v>45.5219926186523</c:v>
                </c:pt>
                <c:pt idx="3">
                  <c:v>55.2793328968217</c:v>
                </c:pt>
                <c:pt idx="4">
                  <c:v>62.9639312218875</c:v>
                </c:pt>
              </c:numCache>
            </c:numRef>
          </c:val>
        </c:ser>
        <c:gapWidth val="150"/>
        <c:overlap val="0"/>
        <c:axId val="42830161"/>
        <c:axId val="57372062"/>
      </c:barChart>
      <c:catAx>
        <c:axId val="428301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372062"/>
        <c:crosses val="autoZero"/>
        <c:auto val="1"/>
        <c:lblAlgn val="ctr"/>
        <c:lblOffset val="100"/>
        <c:noMultiLvlLbl val="0"/>
      </c:catAx>
      <c:valAx>
        <c:axId val="573720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;&quot;($&quot;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301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Value creation bridge ($mm)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Returns!$A$28:$A$33</c:f>
              <c:strCache>
                <c:ptCount val="6"/>
                <c:pt idx="0">
                  <c:v>Revenue growth (at entry margin and multiple)</c:v>
                </c:pt>
                <c:pt idx="1">
                  <c:v>Margin expansion (at entry multiple)</c:v>
                </c:pt>
                <c:pt idx="2">
                  <c:v>Multiple expansion / (contraction)</c:v>
                </c:pt>
                <c:pt idx="3">
                  <c:v>Deleveraging (net debt reduction)</c:v>
                </c:pt>
                <c:pt idx="4">
                  <c:v>Fees and expenses</c:v>
                </c:pt>
                <c:pt idx="5">
                  <c:v>Management incentive plan</c:v>
                </c:pt>
              </c:strCache>
            </c:strRef>
          </c:cat>
          <c:val>
            <c:numRef>
              <c:f>Returns!$C$28:$C$33</c:f>
              <c:numCache>
                <c:formatCode>\$#,##0.0;"($"#,##0.0\);\-</c:formatCode>
                <c:ptCount val="6"/>
                <c:pt idx="0">
                  <c:v>385.8031342</c:v>
                </c:pt>
                <c:pt idx="1">
                  <c:v>148.58031342</c:v>
                </c:pt>
                <c:pt idx="2">
                  <c:v>0</c:v>
                </c:pt>
                <c:pt idx="3">
                  <c:v>222.990960643611</c:v>
                </c:pt>
                <c:pt idx="4">
                  <c:v>-37.625</c:v>
                </c:pt>
                <c:pt idx="5">
                  <c:v>-57.5799526610889</c:v>
                </c:pt>
              </c:numCache>
            </c:numRef>
          </c:val>
        </c:ser>
        <c:gapWidth val="150"/>
        <c:overlap val="0"/>
        <c:axId val="47248418"/>
        <c:axId val="98285291"/>
      </c:barChart>
      <c:catAx>
        <c:axId val="472484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285291"/>
        <c:crosses val="autoZero"/>
        <c:auto val="1"/>
        <c:lblAlgn val="ctr"/>
        <c:lblOffset val="100"/>
        <c:noMultiLvlLbl val="0"/>
      </c:catAx>
      <c:valAx>
        <c:axId val="982852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;&quot;($&quot;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484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31</xdr:row>
      <xdr:rowOff>130680</xdr:rowOff>
    </xdr:from>
    <xdr:to>
      <xdr:col>3</xdr:col>
      <xdr:colOff>168480</xdr:colOff>
      <xdr:row>45</xdr:row>
      <xdr:rowOff>163440</xdr:rowOff>
    </xdr:to>
    <xdr:graphicFrame>
      <xdr:nvGraphicFramePr>
        <xdr:cNvPr id="0" name="Chart 1"/>
        <xdr:cNvGraphicFramePr/>
      </xdr:nvGraphicFramePr>
      <xdr:xfrm>
        <a:off x="0" y="60958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31</xdr:row>
      <xdr:rowOff>130680</xdr:rowOff>
    </xdr:from>
    <xdr:to>
      <xdr:col>9</xdr:col>
      <xdr:colOff>402840</xdr:colOff>
      <xdr:row>45</xdr:row>
      <xdr:rowOff>163440</xdr:rowOff>
    </xdr:to>
    <xdr:graphicFrame>
      <xdr:nvGraphicFramePr>
        <xdr:cNvPr id="1" name="Chart 2"/>
        <xdr:cNvGraphicFramePr/>
      </xdr:nvGraphicFramePr>
      <xdr:xfrm>
        <a:off x="5427360" y="60958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47</xdr:row>
      <xdr:rowOff>130680</xdr:rowOff>
    </xdr:from>
    <xdr:to>
      <xdr:col>3</xdr:col>
      <xdr:colOff>168480</xdr:colOff>
      <xdr:row>61</xdr:row>
      <xdr:rowOff>163440</xdr:rowOff>
    </xdr:to>
    <xdr:graphicFrame>
      <xdr:nvGraphicFramePr>
        <xdr:cNvPr id="2" name="Chart 3"/>
        <xdr:cNvGraphicFramePr/>
      </xdr:nvGraphicFramePr>
      <xdr:xfrm>
        <a:off x="0" y="914400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8" min="2" style="0" width="13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3" t="s">
        <v>3</v>
      </c>
      <c r="E4" s="4"/>
      <c r="F4" s="4"/>
      <c r="G4" s="4"/>
      <c r="H4" s="4"/>
    </row>
    <row r="5" customFormat="false" ht="15" hidden="false" customHeight="false" outlineLevel="0" collapsed="false">
      <c r="A5" s="5" t="s">
        <v>4</v>
      </c>
      <c r="B5" s="6" t="n">
        <f aca="false">Assumptions!$C$7</f>
        <v>1</v>
      </c>
      <c r="D5" s="7" t="s">
        <v>5</v>
      </c>
      <c r="G5" s="8" t="n">
        <f aca="false">Assumptions!$C$20</f>
        <v>5</v>
      </c>
    </row>
    <row r="6" customFormat="false" ht="15" hidden="false" customHeight="false" outlineLevel="0" collapsed="false">
      <c r="A6" s="5" t="s">
        <v>6</v>
      </c>
      <c r="B6" s="9" t="n">
        <f aca="false">Transaction!$C$9</f>
        <v>1100</v>
      </c>
      <c r="D6" s="7" t="s">
        <v>7</v>
      </c>
      <c r="G6" s="10" t="n">
        <f aca="false">Assumptions!$C$21</f>
        <v>11</v>
      </c>
    </row>
    <row r="7" customFormat="false" ht="15" hidden="false" customHeight="false" outlineLevel="0" collapsed="false">
      <c r="A7" s="5" t="s">
        <v>8</v>
      </c>
      <c r="B7" s="11" t="n">
        <f aca="false">Transaction!$C$8</f>
        <v>11</v>
      </c>
      <c r="D7" s="12" t="s">
        <v>9</v>
      </c>
      <c r="G7" s="13" t="n">
        <f aca="false">Returns!C23</f>
        <v>0.158829542925986</v>
      </c>
    </row>
    <row r="8" customFormat="false" ht="15" hidden="false" customHeight="false" outlineLevel="0" collapsed="false">
      <c r="A8" s="5" t="s">
        <v>10</v>
      </c>
      <c r="B8" s="14" t="n">
        <f aca="false">Transaction!$C$10</f>
        <v>2.2</v>
      </c>
      <c r="D8" s="12" t="s">
        <v>11</v>
      </c>
      <c r="G8" s="15" t="n">
        <f aca="false">Returns!C22</f>
        <v>2.08976664160053</v>
      </c>
    </row>
    <row r="9" customFormat="false" ht="15" hidden="false" customHeight="false" outlineLevel="0" collapsed="false">
      <c r="A9" s="5" t="s">
        <v>12</v>
      </c>
      <c r="B9" s="16" t="n">
        <f aca="false">(Transaction!$C$13+Transaction!$C$14+Transaction!$C$15)/Transaction!$C$7</f>
        <v>5.5</v>
      </c>
      <c r="D9" s="7" t="s">
        <v>13</v>
      </c>
      <c r="G9" s="17" t="n">
        <f aca="false">Returns!C21</f>
        <v>1269.79445560252</v>
      </c>
    </row>
    <row r="10" customFormat="false" ht="15" hidden="false" customHeight="false" outlineLevel="0" collapsed="false">
      <c r="A10" s="5" t="s">
        <v>14</v>
      </c>
      <c r="B10" s="9" t="n">
        <f aca="false">Transaction!$C$16</f>
        <v>607.625</v>
      </c>
      <c r="D10" s="7" t="s">
        <v>15</v>
      </c>
      <c r="G10" s="18" t="str">
        <f aca="false">Checks!C15</f>
        <v>ALL OK</v>
      </c>
    </row>
    <row r="11" customFormat="false" ht="15" hidden="false" customHeight="false" outlineLevel="0" collapsed="false">
      <c r="A11" s="5" t="s">
        <v>16</v>
      </c>
      <c r="B11" s="19" t="n">
        <f aca="false">Transaction!$C$27</f>
        <v>0.524889320807688</v>
      </c>
    </row>
    <row r="13" customFormat="false" ht="15" hidden="false" customHeight="false" outlineLevel="0" collapsed="false">
      <c r="A13" s="3" t="s">
        <v>17</v>
      </c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5" t="s">
        <v>18</v>
      </c>
      <c r="B14" s="9" t="n">
        <f aca="false">Transaction!$C$13</f>
        <v>0</v>
      </c>
      <c r="C14" s="11" t="n">
        <f aca="false">Transaction!$E$13</f>
        <v>0</v>
      </c>
      <c r="D14" s="7" t="s">
        <v>19</v>
      </c>
      <c r="G14" s="9" t="n">
        <f aca="false">Transaction!$C$20</f>
        <v>1100</v>
      </c>
      <c r="H14" s="11" t="n">
        <f aca="false">Transaction!$E$20</f>
        <v>11</v>
      </c>
    </row>
    <row r="15" customFormat="false" ht="15" hidden="false" customHeight="false" outlineLevel="0" collapsed="false">
      <c r="A15" s="5" t="s">
        <v>20</v>
      </c>
      <c r="B15" s="9" t="n">
        <f aca="false">Transaction!$C$14</f>
        <v>400</v>
      </c>
      <c r="C15" s="11" t="n">
        <f aca="false">Transaction!$E$14</f>
        <v>4</v>
      </c>
      <c r="D15" s="7" t="s">
        <v>21</v>
      </c>
      <c r="G15" s="9" t="n">
        <f aca="false">Transaction!$C$21</f>
        <v>22</v>
      </c>
      <c r="H15" s="11" t="n">
        <f aca="false">Transaction!$E$21</f>
        <v>0.22</v>
      </c>
    </row>
    <row r="16" customFormat="false" ht="15" hidden="false" customHeight="false" outlineLevel="0" collapsed="false">
      <c r="A16" s="5" t="s">
        <v>22</v>
      </c>
      <c r="B16" s="9" t="n">
        <f aca="false">Transaction!$C$15</f>
        <v>150</v>
      </c>
      <c r="C16" s="11" t="n">
        <f aca="false">Transaction!$E$15</f>
        <v>1.5</v>
      </c>
      <c r="D16" s="7" t="s">
        <v>23</v>
      </c>
      <c r="G16" s="9" t="n">
        <f aca="false">Transaction!$C$22</f>
        <v>15.625</v>
      </c>
      <c r="H16" s="11" t="n">
        <f aca="false">Transaction!$E$22</f>
        <v>0.15625</v>
      </c>
    </row>
    <row r="17" customFormat="false" ht="15" hidden="false" customHeight="false" outlineLevel="0" collapsed="false">
      <c r="A17" s="5" t="s">
        <v>14</v>
      </c>
      <c r="B17" s="9" t="n">
        <f aca="false">Transaction!$C$16</f>
        <v>607.625</v>
      </c>
      <c r="C17" s="11" t="n">
        <f aca="false">Transaction!$E$16</f>
        <v>6.07625</v>
      </c>
      <c r="D17" s="7" t="s">
        <v>24</v>
      </c>
      <c r="G17" s="9" t="n">
        <f aca="false">Transaction!$C$23</f>
        <v>20</v>
      </c>
      <c r="H17" s="11" t="n">
        <f aca="false">Transaction!$E$23</f>
        <v>0.2</v>
      </c>
    </row>
    <row r="18" customFormat="false" ht="15" hidden="false" customHeight="false" outlineLevel="0" collapsed="false">
      <c r="A18" s="20" t="s">
        <v>25</v>
      </c>
      <c r="B18" s="21" t="n">
        <f aca="false">Transaction!$C$17</f>
        <v>1157.625</v>
      </c>
      <c r="C18" s="22" t="n">
        <f aca="false">Transaction!$E$17</f>
        <v>11.57625</v>
      </c>
      <c r="D18" s="12" t="s">
        <v>26</v>
      </c>
      <c r="G18" s="21" t="n">
        <f aca="false">Transaction!$C$24</f>
        <v>1157.625</v>
      </c>
      <c r="H18" s="22" t="n">
        <f aca="false">Transaction!$E$24</f>
        <v>11.57625</v>
      </c>
    </row>
    <row r="20" customFormat="false" ht="15" hidden="false" customHeight="false" outlineLevel="0" collapsed="false">
      <c r="A20" s="3" t="s">
        <v>27</v>
      </c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23"/>
      <c r="B21" s="24" t="s">
        <v>28</v>
      </c>
      <c r="C21" s="24" t="s">
        <v>29</v>
      </c>
      <c r="D21" s="24" t="s">
        <v>30</v>
      </c>
      <c r="E21" s="24" t="s">
        <v>31</v>
      </c>
      <c r="F21" s="24" t="s">
        <v>32</v>
      </c>
      <c r="G21" s="24" t="s">
        <v>33</v>
      </c>
      <c r="H21" s="24"/>
    </row>
    <row r="22" customFormat="false" ht="15" hidden="false" customHeight="false" outlineLevel="0" collapsed="false">
      <c r="A22" s="20" t="s">
        <v>34</v>
      </c>
      <c r="B22" s="17" t="n">
        <f aca="false">'Operating Model'!C7</f>
        <v>500</v>
      </c>
      <c r="C22" s="17" t="n">
        <f aca="false">'Operating Model'!D7</f>
        <v>535</v>
      </c>
      <c r="D22" s="17" t="n">
        <f aca="false">'Operating Model'!E7</f>
        <v>572.45</v>
      </c>
      <c r="E22" s="17" t="n">
        <f aca="false">'Operating Model'!F7</f>
        <v>606.797</v>
      </c>
      <c r="F22" s="17" t="n">
        <f aca="false">'Operating Model'!G7</f>
        <v>643.20482</v>
      </c>
      <c r="G22" s="17" t="n">
        <f aca="false">'Operating Model'!H7</f>
        <v>675.365061</v>
      </c>
    </row>
    <row r="23" customFormat="false" ht="15" hidden="false" customHeight="false" outlineLevel="0" collapsed="false">
      <c r="A23" s="5" t="s">
        <v>35</v>
      </c>
      <c r="C23" s="25" t="n">
        <f aca="false">'Operating Model'!D8</f>
        <v>0.0700000000000001</v>
      </c>
      <c r="D23" s="25" t="n">
        <f aca="false">'Operating Model'!E8</f>
        <v>0.0700000000000001</v>
      </c>
      <c r="E23" s="25" t="n">
        <f aca="false">'Operating Model'!F8</f>
        <v>0.0600000000000001</v>
      </c>
      <c r="F23" s="25" t="n">
        <f aca="false">'Operating Model'!G8</f>
        <v>0.0600000000000001</v>
      </c>
      <c r="G23" s="25" t="n">
        <f aca="false">'Operating Model'!H8</f>
        <v>0.05</v>
      </c>
    </row>
    <row r="24" customFormat="false" ht="15" hidden="false" customHeight="false" outlineLevel="0" collapsed="false">
      <c r="A24" s="20" t="s">
        <v>36</v>
      </c>
      <c r="B24" s="17" t="n">
        <f aca="false">'Operating Model'!C9</f>
        <v>100</v>
      </c>
      <c r="C24" s="17" t="n">
        <f aca="false">'Operating Model'!D9</f>
        <v>109.675</v>
      </c>
      <c r="D24" s="17" t="n">
        <f aca="false">'Operating Model'!E9</f>
        <v>120.2145</v>
      </c>
      <c r="E24" s="17" t="n">
        <f aca="false">'Operating Model'!F9</f>
        <v>130.461355</v>
      </c>
      <c r="F24" s="17" t="n">
        <f aca="false">'Operating Model'!G9</f>
        <v>141.5050604</v>
      </c>
      <c r="G24" s="17" t="n">
        <f aca="false">'Operating Model'!H9</f>
        <v>148.58031342</v>
      </c>
    </row>
    <row r="25" customFormat="false" ht="15" hidden="false" customHeight="false" outlineLevel="0" collapsed="false">
      <c r="A25" s="5" t="s">
        <v>37</v>
      </c>
      <c r="B25" s="25" t="n">
        <f aca="false">'Operating Model'!C10</f>
        <v>0.2</v>
      </c>
      <c r="C25" s="25" t="n">
        <f aca="false">'Operating Model'!D10</f>
        <v>0.205</v>
      </c>
      <c r="D25" s="25" t="n">
        <f aca="false">'Operating Model'!E10</f>
        <v>0.21</v>
      </c>
      <c r="E25" s="25" t="n">
        <f aca="false">'Operating Model'!F10</f>
        <v>0.215</v>
      </c>
      <c r="F25" s="25" t="n">
        <f aca="false">'Operating Model'!G10</f>
        <v>0.22</v>
      </c>
      <c r="G25" s="25" t="n">
        <f aca="false">'Operating Model'!H10</f>
        <v>0.22</v>
      </c>
    </row>
    <row r="26" customFormat="false" ht="15" hidden="false" customHeight="false" outlineLevel="0" collapsed="false">
      <c r="A26" s="20" t="s">
        <v>38</v>
      </c>
      <c r="C26" s="17" t="n">
        <f aca="false">'Operating Model'!D33</f>
        <v>24.713125</v>
      </c>
      <c r="D26" s="17" t="n">
        <f aca="false">'Operating Model'!E33</f>
        <v>34.51257890625</v>
      </c>
      <c r="E26" s="17" t="n">
        <f aca="false">'Operating Model'!F33</f>
        <v>45.5219926186523</v>
      </c>
      <c r="F26" s="17" t="n">
        <f aca="false">'Operating Model'!G33</f>
        <v>55.2793328968217</v>
      </c>
      <c r="G26" s="17" t="n">
        <f aca="false">'Operating Model'!H33</f>
        <v>62.9639312218875</v>
      </c>
    </row>
    <row r="27" customFormat="false" ht="15" hidden="false" customHeight="false" outlineLevel="0" collapsed="false">
      <c r="A27" s="20" t="s">
        <v>39</v>
      </c>
      <c r="B27" s="17" t="n">
        <f aca="false">'Debt Schedule'!C35</f>
        <v>530</v>
      </c>
      <c r="C27" s="17" t="n">
        <f aca="false">'Debt Schedule'!D35</f>
        <v>505.286875</v>
      </c>
      <c r="D27" s="17" t="n">
        <f aca="false">'Debt Schedule'!E35</f>
        <v>470.77429609375</v>
      </c>
      <c r="E27" s="17" t="n">
        <f aca="false">'Debt Schedule'!F35</f>
        <v>425.252303475098</v>
      </c>
      <c r="F27" s="17" t="n">
        <f aca="false">'Debt Schedule'!G35</f>
        <v>369.972970578276</v>
      </c>
      <c r="G27" s="17" t="n">
        <f aca="false">'Debt Schedule'!H35</f>
        <v>307.009039356389</v>
      </c>
    </row>
    <row r="28" customFormat="false" ht="15" hidden="false" customHeight="false" outlineLevel="0" collapsed="false">
      <c r="A28" s="20" t="s">
        <v>40</v>
      </c>
      <c r="B28" s="26" t="n">
        <f aca="false">'Credit Stats'!C8</f>
        <v>5.3</v>
      </c>
      <c r="C28" s="26" t="n">
        <f aca="false">'Credit Stats'!D8</f>
        <v>4.60712901755186</v>
      </c>
      <c r="D28" s="26" t="n">
        <f aca="false">'Credit Stats'!E8</f>
        <v>3.91611907127468</v>
      </c>
      <c r="E28" s="26" t="n">
        <f aca="false">'Credit Stats'!F8</f>
        <v>3.25960360809604</v>
      </c>
      <c r="F28" s="26" t="n">
        <f aca="false">'Credit Stats'!G8</f>
        <v>2.61455646555998</v>
      </c>
      <c r="G28" s="26" t="n">
        <f aca="false">'Credit Stats'!H8</f>
        <v>2.06628342806459</v>
      </c>
    </row>
    <row r="29" customFormat="false" ht="15" hidden="false" customHeight="false" outlineLevel="0" collapsed="false">
      <c r="A29" s="20" t="s">
        <v>41</v>
      </c>
      <c r="C29" s="26" t="n">
        <f aca="false">'Credit Stats'!D12</f>
        <v>2.42375690607735</v>
      </c>
      <c r="D29" s="26" t="n">
        <f aca="false">'Credit Stats'!E12</f>
        <v>2.80974215942746</v>
      </c>
      <c r="E29" s="26" t="n">
        <f aca="false">'Credit Stats'!F12</f>
        <v>3.29422632827763</v>
      </c>
      <c r="F29" s="26" t="n">
        <f aca="false">'Credit Stats'!G12</f>
        <v>3.86941931772297</v>
      </c>
      <c r="G29" s="26" t="n">
        <f aca="false">'Credit Stats'!H12</f>
        <v>4.52905140643863</v>
      </c>
    </row>
    <row r="30" customFormat="false" ht="15" hidden="false" customHeight="false" outlineLevel="0" collapsed="false">
      <c r="A30" s="20" t="s">
        <v>42</v>
      </c>
      <c r="C30" s="18" t="str">
        <f aca="false">'Credit Stats'!D24</f>
        <v>OK</v>
      </c>
      <c r="D30" s="18" t="str">
        <f aca="false">'Credit Stats'!E24</f>
        <v>OK</v>
      </c>
      <c r="E30" s="18" t="str">
        <f aca="false">'Credit Stats'!F24</f>
        <v>OK</v>
      </c>
      <c r="F30" s="18" t="str">
        <f aca="false">'Credit Stats'!G24</f>
        <v>OK</v>
      </c>
      <c r="G30" s="18" t="str">
        <f aca="false">'Credit Stats'!H24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8" min="3" style="0" width="13"/>
    <col collapsed="false" customWidth="true" hidden="false" outlineLevel="0" max="9" min="9" style="0" width="78"/>
  </cols>
  <sheetData>
    <row r="1" customFormat="false" ht="17.35" hidden="false" customHeight="false" outlineLevel="0" collapsed="false">
      <c r="A1" s="27" t="s">
        <v>43</v>
      </c>
    </row>
    <row r="2" customFormat="false" ht="15" hidden="false" customHeight="false" outlineLevel="0" collapsed="false">
      <c r="A2" s="2" t="s">
        <v>44</v>
      </c>
    </row>
    <row r="3" customFormat="false" ht="15" hidden="false" customHeight="false" outlineLevel="0" collapsed="false">
      <c r="A3" s="2" t="s">
        <v>45</v>
      </c>
    </row>
    <row r="4" customFormat="false" ht="15" hidden="false" customHeight="false" outlineLevel="0" collapsed="false">
      <c r="A4" s="28"/>
      <c r="B4" s="28" t="s">
        <v>46</v>
      </c>
      <c r="C4" s="29" t="s">
        <v>47</v>
      </c>
      <c r="D4" s="29" t="s">
        <v>29</v>
      </c>
      <c r="E4" s="29" t="s">
        <v>30</v>
      </c>
      <c r="F4" s="29" t="s">
        <v>31</v>
      </c>
      <c r="G4" s="29" t="s">
        <v>32</v>
      </c>
      <c r="H4" s="29" t="s">
        <v>33</v>
      </c>
      <c r="I4" s="3" t="s">
        <v>48</v>
      </c>
    </row>
    <row r="6" customFormat="false" ht="15" hidden="false" customHeight="false" outlineLevel="0" collapsed="false">
      <c r="A6" s="30" t="s">
        <v>49</v>
      </c>
      <c r="B6" s="31"/>
      <c r="C6" s="31"/>
      <c r="D6" s="31"/>
      <c r="E6" s="31"/>
      <c r="F6" s="31"/>
      <c r="G6" s="31"/>
      <c r="H6" s="31"/>
    </row>
    <row r="7" customFormat="false" ht="15" hidden="false" customHeight="false" outlineLevel="0" collapsed="false">
      <c r="A7" s="5" t="s">
        <v>50</v>
      </c>
      <c r="C7" s="32" t="n">
        <v>1</v>
      </c>
      <c r="I7" s="33" t="s">
        <v>51</v>
      </c>
    </row>
    <row r="8" customFormat="false" ht="15" hidden="false" customHeight="false" outlineLevel="0" collapsed="false">
      <c r="A8" s="5" t="s">
        <v>52</v>
      </c>
      <c r="C8" s="34" t="n">
        <v>500</v>
      </c>
      <c r="I8" s="33" t="s">
        <v>53</v>
      </c>
    </row>
    <row r="9" customFormat="false" ht="15" hidden="false" customHeight="false" outlineLevel="0" collapsed="false">
      <c r="A9" s="5" t="s">
        <v>54</v>
      </c>
      <c r="C9" s="34" t="n">
        <v>100</v>
      </c>
      <c r="I9" s="33" t="s">
        <v>55</v>
      </c>
    </row>
    <row r="10" customFormat="false" ht="15" hidden="false" customHeight="false" outlineLevel="0" collapsed="false">
      <c r="A10" s="5" t="s">
        <v>56</v>
      </c>
      <c r="C10" s="34" t="n">
        <v>200</v>
      </c>
      <c r="I10" s="33" t="s">
        <v>57</v>
      </c>
    </row>
    <row r="11" customFormat="false" ht="15" hidden="false" customHeight="false" outlineLevel="0" collapsed="false">
      <c r="A11" s="5"/>
    </row>
    <row r="12" customFormat="false" ht="15" hidden="false" customHeight="false" outlineLevel="0" collapsed="false">
      <c r="A12" s="30" t="s">
        <v>2</v>
      </c>
      <c r="B12" s="31"/>
      <c r="C12" s="31"/>
      <c r="D12" s="31"/>
      <c r="E12" s="31"/>
      <c r="F12" s="31"/>
      <c r="G12" s="31"/>
      <c r="H12" s="31"/>
    </row>
    <row r="13" customFormat="false" ht="15" hidden="false" customHeight="false" outlineLevel="0" collapsed="false">
      <c r="A13" s="5" t="s">
        <v>8</v>
      </c>
      <c r="C13" s="32" t="n">
        <v>11</v>
      </c>
      <c r="I13" s="33" t="s">
        <v>58</v>
      </c>
    </row>
    <row r="14" customFormat="false" ht="15" hidden="false" customHeight="false" outlineLevel="0" collapsed="false">
      <c r="A14" s="5" t="s">
        <v>59</v>
      </c>
      <c r="C14" s="34" t="n">
        <v>0.02</v>
      </c>
      <c r="I14" s="33" t="s">
        <v>60</v>
      </c>
    </row>
    <row r="15" customFormat="false" ht="15" hidden="false" customHeight="false" outlineLevel="0" collapsed="false">
      <c r="A15" s="5" t="s">
        <v>61</v>
      </c>
      <c r="C15" s="34" t="n">
        <v>0.025</v>
      </c>
      <c r="I15" s="33" t="s">
        <v>62</v>
      </c>
    </row>
    <row r="16" customFormat="false" ht="15" hidden="false" customHeight="false" outlineLevel="0" collapsed="false">
      <c r="A16" s="5" t="s">
        <v>63</v>
      </c>
      <c r="C16" s="34" t="n">
        <v>7</v>
      </c>
      <c r="I16" s="33" t="s">
        <v>64</v>
      </c>
    </row>
    <row r="17" customFormat="false" ht="15" hidden="false" customHeight="false" outlineLevel="0" collapsed="false">
      <c r="A17" s="5" t="s">
        <v>65</v>
      </c>
      <c r="C17" s="34" t="n">
        <v>20</v>
      </c>
      <c r="I17" s="33" t="s">
        <v>66</v>
      </c>
    </row>
    <row r="18" customFormat="false" ht="15" hidden="false" customHeight="false" outlineLevel="0" collapsed="false">
      <c r="A18" s="5"/>
    </row>
    <row r="19" customFormat="false" ht="15" hidden="false" customHeight="false" outlineLevel="0" collapsed="false">
      <c r="A19" s="30" t="s">
        <v>67</v>
      </c>
      <c r="B19" s="31"/>
      <c r="C19" s="31"/>
      <c r="D19" s="31"/>
      <c r="E19" s="31"/>
      <c r="F19" s="31"/>
      <c r="G19" s="31"/>
      <c r="H19" s="31"/>
    </row>
    <row r="20" customFormat="false" ht="15" hidden="false" customHeight="false" outlineLevel="0" collapsed="false">
      <c r="A20" s="5" t="s">
        <v>68</v>
      </c>
      <c r="C20" s="32" t="n">
        <v>5</v>
      </c>
      <c r="I20" s="33" t="s">
        <v>69</v>
      </c>
    </row>
    <row r="21" customFormat="false" ht="15" hidden="false" customHeight="false" outlineLevel="0" collapsed="false">
      <c r="A21" s="5" t="s">
        <v>70</v>
      </c>
      <c r="C21" s="32" t="n">
        <v>11</v>
      </c>
      <c r="I21" s="33" t="s">
        <v>71</v>
      </c>
    </row>
    <row r="22" customFormat="false" ht="15" hidden="false" customHeight="false" outlineLevel="0" collapsed="false">
      <c r="A22" s="5" t="s">
        <v>72</v>
      </c>
      <c r="C22" s="34" t="n">
        <v>0.08</v>
      </c>
      <c r="I22" s="33" t="s">
        <v>73</v>
      </c>
    </row>
    <row r="23" customFormat="false" ht="15" hidden="false" customHeight="false" outlineLevel="0" collapsed="false">
      <c r="A23" s="5"/>
    </row>
    <row r="24" customFormat="false" ht="15" hidden="false" customHeight="false" outlineLevel="0" collapsed="false">
      <c r="A24" s="30" t="s">
        <v>74</v>
      </c>
      <c r="B24" s="31"/>
      <c r="C24" s="31"/>
      <c r="D24" s="31"/>
      <c r="E24" s="31"/>
      <c r="F24" s="31"/>
      <c r="G24" s="31"/>
      <c r="H24" s="31"/>
    </row>
    <row r="25" customFormat="false" ht="15" hidden="false" customHeight="false" outlineLevel="0" collapsed="false">
      <c r="A25" s="5" t="s">
        <v>75</v>
      </c>
      <c r="C25" s="34" t="n">
        <v>75</v>
      </c>
      <c r="I25" s="33" t="s">
        <v>76</v>
      </c>
    </row>
    <row r="26" customFormat="false" ht="15" hidden="false" customHeight="false" outlineLevel="0" collapsed="false">
      <c r="A26" s="5" t="s">
        <v>77</v>
      </c>
      <c r="C26" s="34" t="n">
        <v>0</v>
      </c>
      <c r="I26" s="33" t="s">
        <v>78</v>
      </c>
    </row>
    <row r="27" customFormat="false" ht="15" hidden="false" customHeight="false" outlineLevel="0" collapsed="false">
      <c r="A27" s="5" t="s">
        <v>79</v>
      </c>
      <c r="C27" s="34" t="n">
        <v>0.035</v>
      </c>
      <c r="I27" s="33" t="s">
        <v>80</v>
      </c>
    </row>
    <row r="28" customFormat="false" ht="15" hidden="false" customHeight="false" outlineLevel="0" collapsed="false">
      <c r="A28" s="5" t="s">
        <v>81</v>
      </c>
      <c r="C28" s="34" t="n">
        <v>0.005</v>
      </c>
      <c r="I28" s="33" t="s">
        <v>80</v>
      </c>
    </row>
    <row r="29" customFormat="false" ht="15" hidden="false" customHeight="false" outlineLevel="0" collapsed="false">
      <c r="A29" s="5" t="s">
        <v>82</v>
      </c>
      <c r="C29" s="32" t="n">
        <v>4</v>
      </c>
      <c r="I29" s="33" t="s">
        <v>83</v>
      </c>
    </row>
    <row r="30" customFormat="false" ht="15" hidden="false" customHeight="false" outlineLevel="0" collapsed="false">
      <c r="A30" s="5" t="s">
        <v>84</v>
      </c>
      <c r="C30" s="34" t="n">
        <v>0.0375</v>
      </c>
      <c r="I30" s="33" t="s">
        <v>85</v>
      </c>
    </row>
    <row r="31" customFormat="false" ht="15" hidden="false" customHeight="false" outlineLevel="0" collapsed="false">
      <c r="A31" s="5" t="s">
        <v>86</v>
      </c>
      <c r="C31" s="34" t="n">
        <v>0.01</v>
      </c>
      <c r="I31" s="33" t="s">
        <v>87</v>
      </c>
    </row>
    <row r="32" customFormat="false" ht="15" hidden="false" customHeight="false" outlineLevel="0" collapsed="false">
      <c r="A32" s="5" t="s">
        <v>88</v>
      </c>
      <c r="C32" s="34" t="n">
        <v>0.75</v>
      </c>
      <c r="I32" s="33" t="s">
        <v>89</v>
      </c>
    </row>
    <row r="33" customFormat="false" ht="15" hidden="false" customHeight="false" outlineLevel="0" collapsed="false">
      <c r="A33" s="5" t="s">
        <v>90</v>
      </c>
      <c r="C33" s="32" t="n">
        <v>1.5</v>
      </c>
      <c r="I33" s="33" t="s">
        <v>91</v>
      </c>
    </row>
    <row r="34" customFormat="false" ht="15" hidden="false" customHeight="false" outlineLevel="0" collapsed="false">
      <c r="A34" s="5" t="s">
        <v>92</v>
      </c>
      <c r="C34" s="34" t="n">
        <v>0.0925</v>
      </c>
      <c r="I34" s="33" t="s">
        <v>93</v>
      </c>
    </row>
    <row r="35" customFormat="false" ht="15" hidden="false" customHeight="false" outlineLevel="0" collapsed="false">
      <c r="A35" s="5" t="s">
        <v>94</v>
      </c>
      <c r="C35" s="34" t="n">
        <v>0.02</v>
      </c>
      <c r="I35" s="33" t="s">
        <v>95</v>
      </c>
    </row>
    <row r="36" customFormat="false" ht="15" hidden="false" customHeight="false" outlineLevel="0" collapsed="false">
      <c r="A36" s="5"/>
    </row>
    <row r="37" customFormat="false" ht="15" hidden="false" customHeight="false" outlineLevel="0" collapsed="false">
      <c r="A37" s="30" t="s">
        <v>96</v>
      </c>
      <c r="B37" s="31"/>
      <c r="C37" s="31"/>
      <c r="D37" s="31"/>
      <c r="E37" s="31"/>
      <c r="F37" s="31"/>
      <c r="G37" s="31"/>
      <c r="H37" s="31"/>
    </row>
    <row r="38" customFormat="false" ht="15" hidden="false" customHeight="false" outlineLevel="0" collapsed="false">
      <c r="A38" s="5" t="s">
        <v>97</v>
      </c>
      <c r="C38" s="34" t="n">
        <v>0.25</v>
      </c>
      <c r="I38" s="33" t="s">
        <v>98</v>
      </c>
    </row>
    <row r="39" customFormat="false" ht="15" hidden="false" customHeight="false" outlineLevel="0" collapsed="false">
      <c r="A39" s="5" t="s">
        <v>99</v>
      </c>
      <c r="C39" s="34" t="n">
        <v>1</v>
      </c>
      <c r="I39" s="33" t="s">
        <v>100</v>
      </c>
    </row>
    <row r="40" customFormat="false" ht="15" hidden="false" customHeight="false" outlineLevel="0" collapsed="false">
      <c r="A40" s="5" t="s">
        <v>101</v>
      </c>
      <c r="C40" s="34" t="n">
        <v>0.3</v>
      </c>
      <c r="I40" s="33" t="s">
        <v>102</v>
      </c>
    </row>
    <row r="41" customFormat="false" ht="15" hidden="false" customHeight="false" outlineLevel="0" collapsed="false">
      <c r="A41" s="5" t="s">
        <v>103</v>
      </c>
      <c r="C41" s="34" t="n">
        <v>0.035</v>
      </c>
      <c r="I41" s="33" t="s">
        <v>80</v>
      </c>
    </row>
    <row r="42" customFormat="false" ht="15" hidden="false" customHeight="false" outlineLevel="0" collapsed="false">
      <c r="A42" s="5" t="s">
        <v>104</v>
      </c>
      <c r="C42" s="34" t="n">
        <v>0.04</v>
      </c>
      <c r="I42" s="33" t="s">
        <v>105</v>
      </c>
    </row>
    <row r="43" customFormat="false" ht="15" hidden="false" customHeight="false" outlineLevel="0" collapsed="false">
      <c r="A43" s="5" t="s">
        <v>106</v>
      </c>
      <c r="C43" s="34" t="n">
        <v>0.12</v>
      </c>
      <c r="I43" s="33" t="s">
        <v>107</v>
      </c>
    </row>
    <row r="44" customFormat="false" ht="15" hidden="false" customHeight="false" outlineLevel="0" collapsed="false">
      <c r="A44" s="5"/>
    </row>
    <row r="45" customFormat="false" ht="15" hidden="false" customHeight="false" outlineLevel="0" collapsed="false">
      <c r="A45" s="30" t="s">
        <v>108</v>
      </c>
      <c r="B45" s="31"/>
      <c r="C45" s="31"/>
      <c r="D45" s="31"/>
      <c r="E45" s="31"/>
      <c r="F45" s="31"/>
      <c r="G45" s="31"/>
      <c r="H45" s="31"/>
    </row>
    <row r="46" customFormat="false" ht="15" hidden="false" customHeight="false" outlineLevel="0" collapsed="false">
      <c r="A46" s="5" t="s">
        <v>109</v>
      </c>
      <c r="D46" s="34" t="n">
        <v>0.04</v>
      </c>
      <c r="E46" s="34" t="n">
        <v>0.0375</v>
      </c>
      <c r="F46" s="34" t="n">
        <v>0.035</v>
      </c>
      <c r="G46" s="34" t="n">
        <v>0.035</v>
      </c>
      <c r="H46" s="34" t="n">
        <v>0.035</v>
      </c>
      <c r="I46" s="33" t="s">
        <v>110</v>
      </c>
    </row>
    <row r="47" customFormat="false" ht="15" hidden="false" customHeight="false" outlineLevel="0" collapsed="false">
      <c r="A47" s="5" t="s">
        <v>111</v>
      </c>
      <c r="D47" s="34" t="n">
        <v>7</v>
      </c>
      <c r="E47" s="34" t="n">
        <v>6.75</v>
      </c>
      <c r="F47" s="34" t="n">
        <v>6.5</v>
      </c>
      <c r="G47" s="34" t="n">
        <v>6.25</v>
      </c>
      <c r="H47" s="34" t="n">
        <v>6</v>
      </c>
      <c r="I47" s="33" t="s">
        <v>112</v>
      </c>
    </row>
    <row r="48" customFormat="false" ht="15" hidden="false" customHeight="false" outlineLevel="0" collapsed="false">
      <c r="A48" s="5"/>
    </row>
    <row r="49" customFormat="false" ht="15" hidden="false" customHeight="false" outlineLevel="0" collapsed="false">
      <c r="A49" s="30" t="s">
        <v>113</v>
      </c>
      <c r="B49" s="31"/>
      <c r="C49" s="31"/>
      <c r="D49" s="31"/>
      <c r="E49" s="31"/>
      <c r="F49" s="31"/>
      <c r="G49" s="31"/>
      <c r="H49" s="31"/>
    </row>
    <row r="50" customFormat="false" ht="15" hidden="false" customHeight="false" outlineLevel="0" collapsed="false">
      <c r="A50" s="5" t="s">
        <v>114</v>
      </c>
      <c r="D50" s="34" t="n">
        <v>0.07</v>
      </c>
      <c r="E50" s="34" t="n">
        <v>0.07</v>
      </c>
      <c r="F50" s="34" t="n">
        <v>0.06</v>
      </c>
      <c r="G50" s="34" t="n">
        <v>0.06</v>
      </c>
      <c r="H50" s="34" t="n">
        <v>0.05</v>
      </c>
      <c r="I50" s="33" t="s">
        <v>115</v>
      </c>
    </row>
    <row r="51" customFormat="false" ht="15" hidden="false" customHeight="false" outlineLevel="0" collapsed="false">
      <c r="A51" s="5" t="s">
        <v>116</v>
      </c>
      <c r="D51" s="34" t="n">
        <v>0.09</v>
      </c>
      <c r="E51" s="34" t="n">
        <v>0.09</v>
      </c>
      <c r="F51" s="34" t="n">
        <v>0.08</v>
      </c>
      <c r="G51" s="34" t="n">
        <v>0.08</v>
      </c>
      <c r="H51" s="34" t="n">
        <v>0.07</v>
      </c>
      <c r="I51" s="33" t="s">
        <v>117</v>
      </c>
    </row>
    <row r="52" customFormat="false" ht="15" hidden="false" customHeight="false" outlineLevel="0" collapsed="false">
      <c r="A52" s="5" t="s">
        <v>118</v>
      </c>
      <c r="D52" s="34" t="n">
        <v>0.02</v>
      </c>
      <c r="E52" s="34" t="n">
        <v>-0.04</v>
      </c>
      <c r="F52" s="34" t="n">
        <v>0.01</v>
      </c>
      <c r="G52" s="34" t="n">
        <v>0.03</v>
      </c>
      <c r="H52" s="34" t="n">
        <v>0.03</v>
      </c>
      <c r="I52" s="33" t="s">
        <v>119</v>
      </c>
    </row>
    <row r="53" customFormat="false" ht="15" hidden="false" customHeight="false" outlineLevel="0" collapsed="false">
      <c r="A53" s="5" t="s">
        <v>120</v>
      </c>
      <c r="D53" s="34" t="n">
        <v>0.205</v>
      </c>
      <c r="E53" s="34" t="n">
        <v>0.21</v>
      </c>
      <c r="F53" s="34" t="n">
        <v>0.215</v>
      </c>
      <c r="G53" s="34" t="n">
        <v>0.22</v>
      </c>
      <c r="H53" s="34" t="n">
        <v>0.22</v>
      </c>
      <c r="I53" s="33" t="s">
        <v>121</v>
      </c>
    </row>
    <row r="54" customFormat="false" ht="15" hidden="false" customHeight="false" outlineLevel="0" collapsed="false">
      <c r="A54" s="5" t="s">
        <v>122</v>
      </c>
      <c r="D54" s="34" t="n">
        <v>0.21</v>
      </c>
      <c r="E54" s="34" t="n">
        <v>0.22</v>
      </c>
      <c r="F54" s="34" t="n">
        <v>0.23</v>
      </c>
      <c r="G54" s="34" t="n">
        <v>0.235</v>
      </c>
      <c r="H54" s="34" t="n">
        <v>0.24</v>
      </c>
      <c r="I54" s="33" t="s">
        <v>123</v>
      </c>
    </row>
    <row r="55" customFormat="false" ht="15" hidden="false" customHeight="false" outlineLevel="0" collapsed="false">
      <c r="A55" s="5" t="s">
        <v>124</v>
      </c>
      <c r="D55" s="34" t="n">
        <v>0.195</v>
      </c>
      <c r="E55" s="34" t="n">
        <v>0.175</v>
      </c>
      <c r="F55" s="34" t="n">
        <v>0.18</v>
      </c>
      <c r="G55" s="34" t="n">
        <v>0.185</v>
      </c>
      <c r="H55" s="34" t="n">
        <v>0.19</v>
      </c>
      <c r="I55" s="33" t="s">
        <v>125</v>
      </c>
    </row>
    <row r="56" customFormat="false" ht="15" hidden="false" customHeight="false" outlineLevel="0" collapsed="false">
      <c r="A56" s="20" t="s">
        <v>126</v>
      </c>
      <c r="D56" s="35" t="n">
        <f aca="false">CHOOSE(Assumptions!$C$7,D50,D51,D52)</f>
        <v>0.07</v>
      </c>
      <c r="E56" s="35" t="n">
        <f aca="false">CHOOSE(Assumptions!$C$7,E50,E51,E52)</f>
        <v>0.07</v>
      </c>
      <c r="F56" s="35" t="n">
        <f aca="false">CHOOSE(Assumptions!$C$7,F50,F51,F52)</f>
        <v>0.06</v>
      </c>
      <c r="G56" s="35" t="n">
        <f aca="false">CHOOSE(Assumptions!$C$7,G50,G51,G52)</f>
        <v>0.06</v>
      </c>
      <c r="H56" s="35" t="n">
        <f aca="false">CHOOSE(Assumptions!$C$7,H50,H51,H52)</f>
        <v>0.05</v>
      </c>
      <c r="I56" s="33" t="s">
        <v>127</v>
      </c>
    </row>
    <row r="57" customFormat="false" ht="15" hidden="false" customHeight="false" outlineLevel="0" collapsed="false">
      <c r="A57" s="20" t="s">
        <v>128</v>
      </c>
      <c r="D57" s="35" t="n">
        <f aca="false">CHOOSE(Assumptions!$C$7,D53,D54,D55)</f>
        <v>0.205</v>
      </c>
      <c r="E57" s="35" t="n">
        <f aca="false">CHOOSE(Assumptions!$C$7,E53,E54,E55)</f>
        <v>0.21</v>
      </c>
      <c r="F57" s="35" t="n">
        <f aca="false">CHOOSE(Assumptions!$C$7,F53,F54,F55)</f>
        <v>0.215</v>
      </c>
      <c r="G57" s="35" t="n">
        <f aca="false">CHOOSE(Assumptions!$C$7,G53,G54,G55)</f>
        <v>0.22</v>
      </c>
      <c r="H57" s="35" t="n">
        <f aca="false">CHOOSE(Assumptions!$C$7,H53,H54,H55)</f>
        <v>0.22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5"/>
    <col collapsed="false" customWidth="true" hidden="false" outlineLevel="0" max="8" min="6" style="0" width="13"/>
  </cols>
  <sheetData>
    <row r="1" customFormat="false" ht="17.35" hidden="false" customHeight="false" outlineLevel="0" collapsed="false">
      <c r="A1" s="27" t="s">
        <v>129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29"/>
      <c r="B4" s="29"/>
      <c r="C4" s="29" t="s">
        <v>130</v>
      </c>
      <c r="D4" s="29" t="s">
        <v>131</v>
      </c>
      <c r="E4" s="29" t="s">
        <v>132</v>
      </c>
    </row>
    <row r="6" customFormat="false" ht="15" hidden="false" customHeight="false" outlineLevel="0" collapsed="false">
      <c r="A6" s="30" t="s">
        <v>133</v>
      </c>
      <c r="B6" s="31"/>
      <c r="C6" s="31"/>
      <c r="D6" s="31"/>
      <c r="E6" s="31"/>
      <c r="G6" s="2" t="s">
        <v>134</v>
      </c>
    </row>
    <row r="7" customFormat="false" ht="15" hidden="false" customHeight="false" outlineLevel="0" collapsed="false">
      <c r="A7" s="5" t="s">
        <v>54</v>
      </c>
      <c r="C7" s="9" t="n">
        <f aca="false">Assumptions!$C$9</f>
        <v>100</v>
      </c>
    </row>
    <row r="8" customFormat="false" ht="15" hidden="false" customHeight="false" outlineLevel="0" collapsed="false">
      <c r="A8" s="5" t="s">
        <v>135</v>
      </c>
      <c r="C8" s="11" t="n">
        <f aca="false">Assumptions!$C$13</f>
        <v>11</v>
      </c>
    </row>
    <row r="9" customFormat="false" ht="15" hidden="false" customHeight="false" outlineLevel="0" collapsed="false">
      <c r="A9" s="20" t="s">
        <v>136</v>
      </c>
      <c r="C9" s="36" t="n">
        <f aca="false">C7*C8</f>
        <v>1100</v>
      </c>
    </row>
    <row r="10" customFormat="false" ht="15" hidden="false" customHeight="false" outlineLevel="0" collapsed="false">
      <c r="A10" s="5" t="s">
        <v>137</v>
      </c>
      <c r="C10" s="37" t="n">
        <f aca="false">C9/Assumptions!$C$8</f>
        <v>2.2</v>
      </c>
    </row>
    <row r="11" customFormat="false" ht="15" hidden="false" customHeight="false" outlineLevel="0" collapsed="false">
      <c r="A11" s="5"/>
    </row>
    <row r="12" customFormat="false" ht="15" hidden="false" customHeight="false" outlineLevel="0" collapsed="false">
      <c r="A12" s="30" t="s">
        <v>138</v>
      </c>
      <c r="B12" s="31"/>
      <c r="C12" s="31"/>
      <c r="D12" s="31"/>
      <c r="E12" s="31"/>
    </row>
    <row r="13" customFormat="false" ht="15" hidden="false" customHeight="false" outlineLevel="0" collapsed="false">
      <c r="A13" s="5" t="s">
        <v>139</v>
      </c>
      <c r="C13" s="9" t="n">
        <f aca="false">Assumptions!$C$26</f>
        <v>0</v>
      </c>
      <c r="D13" s="38" t="n">
        <f aca="false">C13/C$17</f>
        <v>0</v>
      </c>
      <c r="E13" s="16" t="n">
        <f aca="false">C13/C$7</f>
        <v>0</v>
      </c>
    </row>
    <row r="14" customFormat="false" ht="15" hidden="false" customHeight="false" outlineLevel="0" collapsed="false">
      <c r="A14" s="5" t="s">
        <v>20</v>
      </c>
      <c r="C14" s="39" t="n">
        <f aca="false">Assumptions!$C$29*C7</f>
        <v>400</v>
      </c>
      <c r="D14" s="38" t="n">
        <f aca="false">C14/C$17</f>
        <v>0.34553503941259</v>
      </c>
      <c r="E14" s="16" t="n">
        <f aca="false">C14/C$7</f>
        <v>4</v>
      </c>
    </row>
    <row r="15" customFormat="false" ht="15" hidden="false" customHeight="false" outlineLevel="0" collapsed="false">
      <c r="A15" s="5" t="s">
        <v>140</v>
      </c>
      <c r="C15" s="39" t="n">
        <f aca="false">Assumptions!$C$33*C7</f>
        <v>150</v>
      </c>
      <c r="D15" s="38" t="n">
        <f aca="false">C15/C$17</f>
        <v>0.129575639779721</v>
      </c>
      <c r="E15" s="16" t="n">
        <f aca="false">C15/C$7</f>
        <v>1.5</v>
      </c>
    </row>
    <row r="16" customFormat="false" ht="15" hidden="false" customHeight="false" outlineLevel="0" collapsed="false">
      <c r="A16" s="5" t="s">
        <v>141</v>
      </c>
      <c r="C16" s="39" t="n">
        <f aca="false">C24-C13-C14-C15</f>
        <v>607.625</v>
      </c>
      <c r="D16" s="38" t="n">
        <f aca="false">C16/C$17</f>
        <v>0.524889320807688</v>
      </c>
      <c r="E16" s="16" t="n">
        <f aca="false">C16/C$7</f>
        <v>6.07625</v>
      </c>
    </row>
    <row r="17" customFormat="false" ht="15" hidden="false" customHeight="false" outlineLevel="0" collapsed="false">
      <c r="A17" s="40" t="s">
        <v>25</v>
      </c>
      <c r="B17" s="41"/>
      <c r="C17" s="42" t="n">
        <f aca="false">SUM(C13:C16)</f>
        <v>1157.625</v>
      </c>
      <c r="D17" s="43" t="n">
        <f aca="false">C17/C$17</f>
        <v>1</v>
      </c>
      <c r="E17" s="44" t="n">
        <f aca="false">C17/C$7</f>
        <v>11.57625</v>
      </c>
    </row>
    <row r="18" customFormat="false" ht="15" hidden="false" customHeight="false" outlineLevel="0" collapsed="false">
      <c r="A18" s="5"/>
    </row>
    <row r="19" customFormat="false" ht="15" hidden="false" customHeight="false" outlineLevel="0" collapsed="false">
      <c r="A19" s="30" t="s">
        <v>142</v>
      </c>
      <c r="B19" s="31"/>
      <c r="C19" s="31"/>
      <c r="D19" s="31"/>
      <c r="E19" s="31"/>
    </row>
    <row r="20" customFormat="false" ht="15" hidden="false" customHeight="false" outlineLevel="0" collapsed="false">
      <c r="A20" s="5" t="s">
        <v>19</v>
      </c>
      <c r="C20" s="39" t="n">
        <f aca="false">C9</f>
        <v>1100</v>
      </c>
      <c r="D20" s="38" t="n">
        <f aca="false">C20/C$24</f>
        <v>0.950221358384624</v>
      </c>
      <c r="E20" s="16" t="n">
        <f aca="false">C20/C$7</f>
        <v>11</v>
      </c>
    </row>
    <row r="21" customFormat="false" ht="15" hidden="false" customHeight="false" outlineLevel="0" collapsed="false">
      <c r="A21" s="5" t="s">
        <v>21</v>
      </c>
      <c r="C21" s="39" t="n">
        <f aca="false">Assumptions!$C$14*C9</f>
        <v>22</v>
      </c>
      <c r="D21" s="38" t="n">
        <f aca="false">C21/C$24</f>
        <v>0.0190044271676925</v>
      </c>
      <c r="E21" s="16" t="n">
        <f aca="false">C21/C$7</f>
        <v>0.22</v>
      </c>
    </row>
    <row r="22" customFormat="false" ht="15" hidden="false" customHeight="false" outlineLevel="0" collapsed="false">
      <c r="A22" s="5" t="s">
        <v>143</v>
      </c>
      <c r="C22" s="39" t="n">
        <f aca="false">(Assumptions!$C$29*C7+Assumptions!$C$33*C7+Assumptions!$C$25)*Assumptions!$C$15</f>
        <v>15.625</v>
      </c>
      <c r="D22" s="38" t="n">
        <f aca="false">C22/C$24</f>
        <v>0.0134974624770543</v>
      </c>
      <c r="E22" s="16" t="n">
        <f aca="false">C22/C$7</f>
        <v>0.15625</v>
      </c>
    </row>
    <row r="23" customFormat="false" ht="15" hidden="false" customHeight="false" outlineLevel="0" collapsed="false">
      <c r="A23" s="5" t="s">
        <v>144</v>
      </c>
      <c r="C23" s="9" t="n">
        <f aca="false">Assumptions!$C$17</f>
        <v>20</v>
      </c>
      <c r="D23" s="38" t="n">
        <f aca="false">C23/C$24</f>
        <v>0.0172767519706295</v>
      </c>
      <c r="E23" s="16" t="n">
        <f aca="false">C23/C$7</f>
        <v>0.2</v>
      </c>
    </row>
    <row r="24" customFormat="false" ht="15" hidden="false" customHeight="false" outlineLevel="0" collapsed="false">
      <c r="A24" s="40" t="s">
        <v>26</v>
      </c>
      <c r="B24" s="41"/>
      <c r="C24" s="42" t="n">
        <f aca="false">SUM(C20:C23)</f>
        <v>1157.625</v>
      </c>
      <c r="D24" s="43" t="n">
        <f aca="false">C24/C$24</f>
        <v>1</v>
      </c>
      <c r="E24" s="44" t="n">
        <f aca="false">C24/C$7</f>
        <v>11.57625</v>
      </c>
    </row>
    <row r="25" customFormat="false" ht="15" hidden="false" customHeight="false" outlineLevel="0" collapsed="false">
      <c r="A25" s="5"/>
    </row>
    <row r="26" customFormat="false" ht="15" hidden="false" customHeight="false" outlineLevel="0" collapsed="false">
      <c r="A26" s="30" t="s">
        <v>145</v>
      </c>
      <c r="B26" s="31"/>
      <c r="C26" s="31"/>
      <c r="D26" s="31"/>
      <c r="E26" s="31"/>
    </row>
    <row r="27" customFormat="false" ht="15" hidden="false" customHeight="false" outlineLevel="0" collapsed="false">
      <c r="A27" s="5" t="s">
        <v>146</v>
      </c>
      <c r="C27" s="38" t="n">
        <f aca="false">C16/C17</f>
        <v>0.524889320807688</v>
      </c>
    </row>
    <row r="28" customFormat="false" ht="15" hidden="false" customHeight="false" outlineLevel="0" collapsed="false">
      <c r="A28" s="5" t="s">
        <v>147</v>
      </c>
      <c r="C28" s="39" t="n">
        <f aca="false">Assumptions!$C$43*Assumptions!$C$8</f>
        <v>60</v>
      </c>
    </row>
    <row r="29" customFormat="false" ht="15" hidden="false" customHeight="false" outlineLevel="0" collapsed="false">
      <c r="A29" s="5" t="s">
        <v>148</v>
      </c>
      <c r="C29" s="39" t="n">
        <f aca="false">C20+C21-C28-Assumptions!$C$10</f>
        <v>862</v>
      </c>
    </row>
    <row r="30" customFormat="false" ht="15" hidden="false" customHeight="false" outlineLevel="0" collapsed="false">
      <c r="A30" s="5" t="s">
        <v>149</v>
      </c>
      <c r="C30" s="39" t="n">
        <f aca="false">C22/Assumptions!$C$16</f>
        <v>2.23214285714286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8" min="3" style="0" width="13"/>
  </cols>
  <sheetData>
    <row r="1" customFormat="false" ht="17.35" hidden="false" customHeight="false" outlineLevel="0" collapsed="false">
      <c r="A1" s="27" t="s">
        <v>150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28"/>
      <c r="B4" s="28" t="s">
        <v>46</v>
      </c>
      <c r="C4" s="29" t="s">
        <v>47</v>
      </c>
      <c r="D4" s="29" t="s">
        <v>29</v>
      </c>
      <c r="E4" s="29" t="s">
        <v>30</v>
      </c>
      <c r="F4" s="29" t="s">
        <v>31</v>
      </c>
      <c r="G4" s="29" t="s">
        <v>32</v>
      </c>
      <c r="H4" s="29" t="s">
        <v>33</v>
      </c>
    </row>
    <row r="6" customFormat="false" ht="15" hidden="false" customHeight="false" outlineLevel="0" collapsed="false">
      <c r="A6" s="30" t="s">
        <v>151</v>
      </c>
      <c r="B6" s="31"/>
      <c r="C6" s="31"/>
      <c r="D6" s="31"/>
      <c r="E6" s="31"/>
      <c r="F6" s="31"/>
      <c r="G6" s="31"/>
      <c r="H6" s="31"/>
    </row>
    <row r="7" customFormat="false" ht="15" hidden="false" customHeight="false" outlineLevel="0" collapsed="false">
      <c r="A7" s="20" t="s">
        <v>34</v>
      </c>
      <c r="B7" s="45" t="s">
        <v>130</v>
      </c>
      <c r="C7" s="21" t="n">
        <f aca="false">Assumptions!$C$8</f>
        <v>500</v>
      </c>
      <c r="D7" s="36" t="n">
        <f aca="false">C7*(1+Assumptions!D56)</f>
        <v>535</v>
      </c>
      <c r="E7" s="36" t="n">
        <f aca="false">D7*(1+Assumptions!E56)</f>
        <v>572.45</v>
      </c>
      <c r="F7" s="36" t="n">
        <f aca="false">E7*(1+Assumptions!F56)</f>
        <v>606.797</v>
      </c>
      <c r="G7" s="36" t="n">
        <f aca="false">F7*(1+Assumptions!G56)</f>
        <v>643.20482</v>
      </c>
      <c r="H7" s="36" t="n">
        <f aca="false">G7*(1+Assumptions!H56)</f>
        <v>675.365061</v>
      </c>
    </row>
    <row r="8" customFormat="false" ht="15" hidden="false" customHeight="false" outlineLevel="0" collapsed="false">
      <c r="A8" s="5" t="s">
        <v>35</v>
      </c>
      <c r="B8" s="45" t="s">
        <v>152</v>
      </c>
      <c r="D8" s="38" t="n">
        <f aca="false">D7/C7-1</f>
        <v>0.0700000000000001</v>
      </c>
      <c r="E8" s="38" t="n">
        <f aca="false">E7/D7-1</f>
        <v>0.0700000000000001</v>
      </c>
      <c r="F8" s="38" t="n">
        <f aca="false">F7/E7-1</f>
        <v>0.0600000000000001</v>
      </c>
      <c r="G8" s="38" t="n">
        <f aca="false">G7/F7-1</f>
        <v>0.0600000000000001</v>
      </c>
      <c r="H8" s="38" t="n">
        <f aca="false">H7/G7-1</f>
        <v>0.05</v>
      </c>
    </row>
    <row r="9" customFormat="false" ht="15" hidden="false" customHeight="false" outlineLevel="0" collapsed="false">
      <c r="A9" s="20" t="s">
        <v>36</v>
      </c>
      <c r="B9" s="45" t="s">
        <v>130</v>
      </c>
      <c r="C9" s="21" t="n">
        <f aca="false">Assumptions!$C$9</f>
        <v>100</v>
      </c>
      <c r="D9" s="36" t="n">
        <f aca="false">D7*Assumptions!D57</f>
        <v>109.675</v>
      </c>
      <c r="E9" s="36" t="n">
        <f aca="false">E7*Assumptions!E57</f>
        <v>120.2145</v>
      </c>
      <c r="F9" s="36" t="n">
        <f aca="false">F7*Assumptions!F57</f>
        <v>130.461355</v>
      </c>
      <c r="G9" s="36" t="n">
        <f aca="false">G7*Assumptions!G57</f>
        <v>141.5050604</v>
      </c>
      <c r="H9" s="36" t="n">
        <f aca="false">H7*Assumptions!H57</f>
        <v>148.58031342</v>
      </c>
    </row>
    <row r="10" customFormat="false" ht="15" hidden="false" customHeight="false" outlineLevel="0" collapsed="false">
      <c r="A10" s="5" t="s">
        <v>37</v>
      </c>
      <c r="B10" s="46" t="s">
        <v>152</v>
      </c>
      <c r="C10" s="38" t="n">
        <f aca="false">C9/C7</f>
        <v>0.2</v>
      </c>
      <c r="D10" s="38" t="n">
        <f aca="false">D9/D7</f>
        <v>0.205</v>
      </c>
      <c r="E10" s="38" t="n">
        <f aca="false">E9/E7</f>
        <v>0.21</v>
      </c>
      <c r="F10" s="38" t="n">
        <f aca="false">F9/F7</f>
        <v>0.215</v>
      </c>
      <c r="G10" s="38" t="n">
        <f aca="false">G9/G7</f>
        <v>0.22</v>
      </c>
      <c r="H10" s="38" t="n">
        <f aca="false">H9/H7</f>
        <v>0.22</v>
      </c>
    </row>
    <row r="11" customFormat="false" ht="15" hidden="false" customHeight="false" outlineLevel="0" collapsed="false">
      <c r="A11" s="5" t="s">
        <v>153</v>
      </c>
      <c r="B11" s="45" t="s">
        <v>130</v>
      </c>
      <c r="D11" s="39" t="n">
        <f aca="false">D7*Assumptions!$C$41</f>
        <v>18.725</v>
      </c>
      <c r="E11" s="39" t="n">
        <f aca="false">E7*Assumptions!$C$41</f>
        <v>20.03575</v>
      </c>
      <c r="F11" s="39" t="n">
        <f aca="false">F7*Assumptions!$C$41</f>
        <v>21.237895</v>
      </c>
      <c r="G11" s="39" t="n">
        <f aca="false">G7*Assumptions!$C$41</f>
        <v>22.5121687</v>
      </c>
      <c r="H11" s="39" t="n">
        <f aca="false">H7*Assumptions!$C$41</f>
        <v>23.637777135</v>
      </c>
    </row>
    <row r="12" customFormat="false" ht="15" hidden="false" customHeight="false" outlineLevel="0" collapsed="false">
      <c r="A12" s="40" t="s">
        <v>154</v>
      </c>
      <c r="B12" s="47" t="s">
        <v>130</v>
      </c>
      <c r="C12" s="41"/>
      <c r="D12" s="42" t="n">
        <f aca="false">D9-D11</f>
        <v>90.95</v>
      </c>
      <c r="E12" s="42" t="n">
        <f aca="false">E9-E11</f>
        <v>100.17875</v>
      </c>
      <c r="F12" s="42" t="n">
        <f aca="false">F9-F11</f>
        <v>109.22346</v>
      </c>
      <c r="G12" s="42" t="n">
        <f aca="false">G9-G11</f>
        <v>118.9928917</v>
      </c>
      <c r="H12" s="42" t="n">
        <f aca="false">H9-H11</f>
        <v>124.942536285</v>
      </c>
    </row>
    <row r="13" customFormat="false" ht="15" hidden="false" customHeight="false" outlineLevel="0" collapsed="false">
      <c r="A13" s="5" t="s">
        <v>155</v>
      </c>
      <c r="B13" s="45" t="s">
        <v>130</v>
      </c>
      <c r="D13" s="9" t="n">
        <f aca="false">'Debt Schedule'!D45</f>
        <v>45.25</v>
      </c>
      <c r="E13" s="9" t="n">
        <f aca="false">'Debt Schedule'!E45</f>
        <v>42.78488671875</v>
      </c>
      <c r="F13" s="9" t="n">
        <f aca="false">'Debt Schedule'!F45</f>
        <v>39.6030333071289</v>
      </c>
      <c r="G13" s="9" t="n">
        <f aca="false">'Debt Schedule'!G45</f>
        <v>36.5701023282407</v>
      </c>
      <c r="H13" s="9" t="n">
        <f aca="false">'Debt Schedule'!H45</f>
        <v>32.8060558572539</v>
      </c>
    </row>
    <row r="14" customFormat="false" ht="15" hidden="false" customHeight="false" outlineLevel="0" collapsed="false">
      <c r="A14" s="5" t="s">
        <v>156</v>
      </c>
      <c r="B14" s="45" t="s">
        <v>130</v>
      </c>
      <c r="D14" s="9" t="n">
        <f aca="false">'Debt Schedule'!D46</f>
        <v>0.4</v>
      </c>
      <c r="E14" s="9" t="n">
        <f aca="false">'Debt Schedule'!E46</f>
        <v>0.503565625</v>
      </c>
      <c r="F14" s="9" t="n">
        <f aca="false">'Debt Schedule'!F46</f>
        <v>0.57845430078125</v>
      </c>
      <c r="G14" s="9" t="n">
        <f aca="false">'Debt Schedule'!G46</f>
        <v>0.652223538288574</v>
      </c>
      <c r="H14" s="9" t="n">
        <f aca="false">'Debt Schedule'!H46</f>
        <v>0.719452549056252</v>
      </c>
    </row>
    <row r="15" customFormat="false" ht="15" hidden="false" customHeight="false" outlineLevel="0" collapsed="false">
      <c r="A15" s="5" t="s">
        <v>157</v>
      </c>
      <c r="B15" s="45" t="s">
        <v>130</v>
      </c>
      <c r="D15" s="9" t="n">
        <f aca="false">Transaction!$C$30</f>
        <v>2.23214285714286</v>
      </c>
      <c r="E15" s="9" t="n">
        <f aca="false">Transaction!$C$30</f>
        <v>2.23214285714286</v>
      </c>
      <c r="F15" s="9" t="n">
        <f aca="false">Transaction!$C$30</f>
        <v>2.23214285714286</v>
      </c>
      <c r="G15" s="9" t="n">
        <f aca="false">Transaction!$C$30</f>
        <v>2.23214285714286</v>
      </c>
      <c r="H15" s="9" t="n">
        <f aca="false">Transaction!$C$30</f>
        <v>2.23214285714286</v>
      </c>
    </row>
    <row r="16" customFormat="false" ht="15" hidden="false" customHeight="false" outlineLevel="0" collapsed="false">
      <c r="A16" s="40" t="s">
        <v>158</v>
      </c>
      <c r="B16" s="47" t="s">
        <v>130</v>
      </c>
      <c r="C16" s="41"/>
      <c r="D16" s="42" t="n">
        <f aca="false">D12-D13+D14-D15</f>
        <v>43.8678571428571</v>
      </c>
      <c r="E16" s="42" t="n">
        <f aca="false">E12-E13+E14-E15</f>
        <v>55.6652860491071</v>
      </c>
      <c r="F16" s="42" t="n">
        <f aca="false">F12-F13+F14-F15</f>
        <v>67.9667381365095</v>
      </c>
      <c r="G16" s="42" t="n">
        <f aca="false">G12-G13+G14-G15</f>
        <v>80.8428700529051</v>
      </c>
      <c r="H16" s="42" t="n">
        <f aca="false">H12-H13+H14-H15</f>
        <v>90.6237901196595</v>
      </c>
    </row>
    <row r="17" customFormat="false" ht="15" hidden="false" customHeight="false" outlineLevel="0" collapsed="false">
      <c r="A17" s="5"/>
    </row>
    <row r="18" customFormat="false" ht="15" hidden="false" customHeight="false" outlineLevel="0" collapsed="false">
      <c r="A18" s="30" t="s">
        <v>159</v>
      </c>
      <c r="B18" s="31"/>
      <c r="C18" s="31"/>
      <c r="D18" s="31"/>
      <c r="E18" s="31"/>
      <c r="F18" s="31"/>
      <c r="G18" s="31"/>
      <c r="H18" s="31"/>
    </row>
    <row r="19" customFormat="false" ht="15" hidden="false" customHeight="false" outlineLevel="0" collapsed="false">
      <c r="A19" s="5" t="s">
        <v>160</v>
      </c>
      <c r="B19" s="45" t="s">
        <v>130</v>
      </c>
      <c r="D19" s="39" t="n">
        <f aca="false">D13+D15-D14</f>
        <v>47.0821428571429</v>
      </c>
      <c r="E19" s="39" t="n">
        <f aca="false">E13+E15-E14</f>
        <v>44.5134639508929</v>
      </c>
      <c r="F19" s="39" t="n">
        <f aca="false">F13+F15-F14</f>
        <v>41.2567218634905</v>
      </c>
      <c r="G19" s="39" t="n">
        <f aca="false">G13+G15-G14</f>
        <v>38.1500216470949</v>
      </c>
      <c r="H19" s="39" t="n">
        <f aca="false">H13+H15-H14</f>
        <v>34.3187461653405</v>
      </c>
    </row>
    <row r="20" customFormat="false" ht="15" hidden="false" customHeight="false" outlineLevel="0" collapsed="false">
      <c r="A20" s="5" t="s">
        <v>161</v>
      </c>
      <c r="B20" s="45" t="s">
        <v>130</v>
      </c>
      <c r="D20" s="39" t="n">
        <f aca="false">IF(Assumptions!$C$39=1,MIN(D19,Assumptions!$C$40*D9),D19)</f>
        <v>32.9025</v>
      </c>
      <c r="E20" s="39" t="n">
        <f aca="false">IF(Assumptions!$C$39=1,MIN(E19,Assumptions!$C$40*E9),E19)</f>
        <v>36.06435</v>
      </c>
      <c r="F20" s="39" t="n">
        <f aca="false">IF(Assumptions!$C$39=1,MIN(F19,Assumptions!$C$40*F9),F19)</f>
        <v>39.1384065</v>
      </c>
      <c r="G20" s="39" t="n">
        <f aca="false">IF(Assumptions!$C$39=1,MIN(G19,Assumptions!$C$40*G9),G19)</f>
        <v>38.1500216470949</v>
      </c>
      <c r="H20" s="39" t="n">
        <f aca="false">IF(Assumptions!$C$39=1,MIN(H19,Assumptions!$C$40*H9),H19)</f>
        <v>34.3187461653405</v>
      </c>
    </row>
    <row r="21" customFormat="false" ht="15" hidden="false" customHeight="false" outlineLevel="0" collapsed="false">
      <c r="A21" s="5" t="s">
        <v>162</v>
      </c>
      <c r="B21" s="45" t="s">
        <v>130</v>
      </c>
      <c r="D21" s="39" t="n">
        <f aca="false">D19-D20</f>
        <v>14.1796428571429</v>
      </c>
      <c r="E21" s="39" t="n">
        <f aca="false">E19-E20</f>
        <v>8.44911395089286</v>
      </c>
      <c r="F21" s="39" t="n">
        <f aca="false">F19-F20</f>
        <v>2.11831536349052</v>
      </c>
      <c r="G21" s="39" t="n">
        <f aca="false">G19-G20</f>
        <v>0</v>
      </c>
      <c r="H21" s="39" t="n">
        <f aca="false">H19-H20</f>
        <v>0</v>
      </c>
    </row>
    <row r="22" customFormat="false" ht="15" hidden="false" customHeight="false" outlineLevel="0" collapsed="false">
      <c r="A22" s="5" t="s">
        <v>163</v>
      </c>
      <c r="B22" s="45" t="s">
        <v>130</v>
      </c>
      <c r="D22" s="39" t="n">
        <f aca="false">D16+D21</f>
        <v>58.0475</v>
      </c>
      <c r="E22" s="39" t="n">
        <f aca="false">E16+E21</f>
        <v>64.1144</v>
      </c>
      <c r="F22" s="39" t="n">
        <f aca="false">F16+F21</f>
        <v>70.0850535</v>
      </c>
      <c r="G22" s="39" t="n">
        <f aca="false">G16+G21</f>
        <v>80.8428700529051</v>
      </c>
      <c r="H22" s="39" t="n">
        <f aca="false">H16+H21</f>
        <v>90.6237901196595</v>
      </c>
    </row>
    <row r="23" customFormat="false" ht="15" hidden="false" customHeight="false" outlineLevel="0" collapsed="false">
      <c r="A23" s="20" t="s">
        <v>164</v>
      </c>
      <c r="B23" s="45" t="s">
        <v>130</v>
      </c>
      <c r="D23" s="36" t="n">
        <f aca="false">MAX(0,D22)*Assumptions!$C$38</f>
        <v>14.511875</v>
      </c>
      <c r="E23" s="36" t="n">
        <f aca="false">MAX(0,E22)*Assumptions!$C$38</f>
        <v>16.0286</v>
      </c>
      <c r="F23" s="36" t="n">
        <f aca="false">MAX(0,F22)*Assumptions!$C$38</f>
        <v>17.521263375</v>
      </c>
      <c r="G23" s="36" t="n">
        <f aca="false">MAX(0,G22)*Assumptions!$C$38</f>
        <v>20.2107175132263</v>
      </c>
      <c r="H23" s="36" t="n">
        <f aca="false">MAX(0,H22)*Assumptions!$C$38</f>
        <v>22.6559475299149</v>
      </c>
    </row>
    <row r="24" customFormat="false" ht="15" hidden="false" customHeight="false" outlineLevel="0" collapsed="false">
      <c r="A24" s="40" t="s">
        <v>165</v>
      </c>
      <c r="B24" s="47" t="s">
        <v>130</v>
      </c>
      <c r="C24" s="41"/>
      <c r="D24" s="42" t="n">
        <f aca="false">D16-D23</f>
        <v>29.3559821428571</v>
      </c>
      <c r="E24" s="42" t="n">
        <f aca="false">E16-E23</f>
        <v>39.6366860491071</v>
      </c>
      <c r="F24" s="42" t="n">
        <f aca="false">F16-F23</f>
        <v>50.4454747615095</v>
      </c>
      <c r="G24" s="42" t="n">
        <f aca="false">G16-G23</f>
        <v>60.6321525396788</v>
      </c>
      <c r="H24" s="42" t="n">
        <f aca="false">H16-H23</f>
        <v>67.9678425897446</v>
      </c>
    </row>
    <row r="25" customFormat="false" ht="15" hidden="false" customHeight="false" outlineLevel="0" collapsed="false">
      <c r="A25" s="5"/>
    </row>
    <row r="26" customFormat="false" ht="15" hidden="false" customHeight="false" outlineLevel="0" collapsed="false">
      <c r="A26" s="30" t="s">
        <v>166</v>
      </c>
      <c r="B26" s="31"/>
      <c r="C26" s="31"/>
      <c r="D26" s="31"/>
      <c r="E26" s="31"/>
      <c r="F26" s="31"/>
      <c r="G26" s="31"/>
      <c r="H26" s="31"/>
    </row>
    <row r="27" customFormat="false" ht="15" hidden="false" customHeight="false" outlineLevel="0" collapsed="false">
      <c r="A27" s="5" t="s">
        <v>165</v>
      </c>
      <c r="B27" s="45" t="s">
        <v>130</v>
      </c>
      <c r="D27" s="39" t="n">
        <f aca="false">D24</f>
        <v>29.3559821428571</v>
      </c>
      <c r="E27" s="39" t="n">
        <f aca="false">E24</f>
        <v>39.6366860491071</v>
      </c>
      <c r="F27" s="39" t="n">
        <f aca="false">F24</f>
        <v>50.4454747615095</v>
      </c>
      <c r="G27" s="39" t="n">
        <f aca="false">G24</f>
        <v>60.6321525396788</v>
      </c>
      <c r="H27" s="39" t="n">
        <f aca="false">H24</f>
        <v>67.9678425897446</v>
      </c>
    </row>
    <row r="28" customFormat="false" ht="15" hidden="false" customHeight="false" outlineLevel="0" collapsed="false">
      <c r="A28" s="5" t="s">
        <v>167</v>
      </c>
      <c r="B28" s="45" t="s">
        <v>130</v>
      </c>
      <c r="D28" s="39" t="n">
        <f aca="false">D11</f>
        <v>18.725</v>
      </c>
      <c r="E28" s="39" t="n">
        <f aca="false">E11</f>
        <v>20.03575</v>
      </c>
      <c r="F28" s="39" t="n">
        <f aca="false">F11</f>
        <v>21.237895</v>
      </c>
      <c r="G28" s="39" t="n">
        <f aca="false">G11</f>
        <v>22.5121687</v>
      </c>
      <c r="H28" s="39" t="n">
        <f aca="false">H11</f>
        <v>23.637777135</v>
      </c>
    </row>
    <row r="29" customFormat="false" ht="15" hidden="false" customHeight="false" outlineLevel="0" collapsed="false">
      <c r="A29" s="5" t="s">
        <v>168</v>
      </c>
      <c r="B29" s="45" t="s">
        <v>130</v>
      </c>
      <c r="D29" s="39" t="n">
        <f aca="false">D15</f>
        <v>2.23214285714286</v>
      </c>
      <c r="E29" s="39" t="n">
        <f aca="false">E15</f>
        <v>2.23214285714286</v>
      </c>
      <c r="F29" s="39" t="n">
        <f aca="false">F15</f>
        <v>2.23214285714286</v>
      </c>
      <c r="G29" s="39" t="n">
        <f aca="false">G15</f>
        <v>2.23214285714286</v>
      </c>
      <c r="H29" s="39" t="n">
        <f aca="false">H15</f>
        <v>2.23214285714286</v>
      </c>
    </row>
    <row r="30" customFormat="false" ht="15" hidden="false" customHeight="false" outlineLevel="0" collapsed="false">
      <c r="A30" s="5" t="s">
        <v>169</v>
      </c>
      <c r="B30" s="45" t="s">
        <v>130</v>
      </c>
      <c r="C30" s="39" t="n">
        <f aca="false">Assumptions!$C$43*C7</f>
        <v>60</v>
      </c>
      <c r="D30" s="39" t="n">
        <f aca="false">Assumptions!$C$43*D7</f>
        <v>64.2</v>
      </c>
      <c r="E30" s="39" t="n">
        <f aca="false">Assumptions!$C$43*E7</f>
        <v>68.694</v>
      </c>
      <c r="F30" s="39" t="n">
        <f aca="false">Assumptions!$C$43*F7</f>
        <v>72.81564</v>
      </c>
      <c r="G30" s="39" t="n">
        <f aca="false">Assumptions!$C$43*G7</f>
        <v>77.1845784</v>
      </c>
      <c r="H30" s="39" t="n">
        <f aca="false">Assumptions!$C$43*H7</f>
        <v>81.04380732</v>
      </c>
    </row>
    <row r="31" customFormat="false" ht="15" hidden="false" customHeight="false" outlineLevel="0" collapsed="false">
      <c r="A31" s="5" t="s">
        <v>170</v>
      </c>
      <c r="B31" s="45" t="s">
        <v>130</v>
      </c>
      <c r="D31" s="39" t="n">
        <f aca="false">D30-C30</f>
        <v>4.2</v>
      </c>
      <c r="E31" s="39" t="n">
        <f aca="false">E30-D30</f>
        <v>4.494</v>
      </c>
      <c r="F31" s="39" t="n">
        <f aca="false">F30-E30</f>
        <v>4.12164</v>
      </c>
      <c r="G31" s="39" t="n">
        <f aca="false">G30-F30</f>
        <v>4.36893840000001</v>
      </c>
      <c r="H31" s="39" t="n">
        <f aca="false">H30-G30</f>
        <v>3.85922892000001</v>
      </c>
    </row>
    <row r="32" customFormat="false" ht="15" hidden="false" customHeight="false" outlineLevel="0" collapsed="false">
      <c r="A32" s="5" t="s">
        <v>171</v>
      </c>
      <c r="B32" s="45" t="s">
        <v>130</v>
      </c>
      <c r="D32" s="39" t="n">
        <f aca="false">D7*Assumptions!$C$42</f>
        <v>21.4</v>
      </c>
      <c r="E32" s="39" t="n">
        <f aca="false">E7*Assumptions!$C$42</f>
        <v>22.898</v>
      </c>
      <c r="F32" s="39" t="n">
        <f aca="false">F7*Assumptions!$C$42</f>
        <v>24.27188</v>
      </c>
      <c r="G32" s="39" t="n">
        <f aca="false">G7*Assumptions!$C$42</f>
        <v>25.7281928</v>
      </c>
      <c r="H32" s="39" t="n">
        <f aca="false">H7*Assumptions!$C$42</f>
        <v>27.01460244</v>
      </c>
    </row>
    <row r="33" customFormat="false" ht="15" hidden="false" customHeight="false" outlineLevel="0" collapsed="false">
      <c r="A33" s="40" t="s">
        <v>172</v>
      </c>
      <c r="B33" s="47" t="s">
        <v>130</v>
      </c>
      <c r="C33" s="41"/>
      <c r="D33" s="42" t="n">
        <f aca="false">D27+D28+D29-D31-D32</f>
        <v>24.713125</v>
      </c>
      <c r="E33" s="42" t="n">
        <f aca="false">E27+E28+E29-E31-E32</f>
        <v>34.51257890625</v>
      </c>
      <c r="F33" s="42" t="n">
        <f aca="false">F27+F28+F29-F31-F32</f>
        <v>45.5219926186523</v>
      </c>
      <c r="G33" s="42" t="n">
        <f aca="false">G27+G28+G29-G31-G32</f>
        <v>55.2793328968217</v>
      </c>
      <c r="H33" s="42" t="n">
        <f aca="false">H27+H28+H29-H31-H32</f>
        <v>62.9639312218875</v>
      </c>
    </row>
    <row r="34" customFormat="false" ht="15" hidden="false" customHeight="false" outlineLevel="0" collapsed="false">
      <c r="A34" s="5" t="s">
        <v>173</v>
      </c>
      <c r="B34" s="45" t="s">
        <v>152</v>
      </c>
      <c r="D34" s="38" t="n">
        <f aca="false">D33/D9</f>
        <v>0.225330521996809</v>
      </c>
      <c r="E34" s="38" t="n">
        <f aca="false">E33/E9</f>
        <v>0.287091647898132</v>
      </c>
      <c r="F34" s="38" t="n">
        <f aca="false">F33/F9</f>
        <v>0.348930858633596</v>
      </c>
      <c r="G34" s="38" t="n">
        <f aca="false">G33/G9</f>
        <v>0.390652692847596</v>
      </c>
      <c r="H34" s="38" t="n">
        <f aca="false">H33/H9</f>
        <v>0.423770348659206</v>
      </c>
    </row>
    <row r="35" customFormat="false" ht="15" hidden="false" customHeight="false" outlineLevel="0" collapsed="false">
      <c r="A35" s="5"/>
    </row>
    <row r="36" customFormat="false" ht="15" hidden="false" customHeight="false" outlineLevel="0" collapsed="false">
      <c r="A36" s="30" t="s">
        <v>174</v>
      </c>
      <c r="B36" s="31"/>
      <c r="C36" s="31"/>
      <c r="D36" s="31"/>
      <c r="E36" s="31"/>
      <c r="F36" s="31"/>
      <c r="G36" s="31"/>
      <c r="H36" s="31"/>
    </row>
    <row r="37" customFormat="false" ht="15" hidden="false" customHeight="false" outlineLevel="0" collapsed="false">
      <c r="A37" s="5" t="s">
        <v>175</v>
      </c>
      <c r="B37" s="45" t="s">
        <v>130</v>
      </c>
      <c r="D37" s="39" t="n">
        <f aca="false">D12*Assumptions!$C$38</f>
        <v>22.7375</v>
      </c>
      <c r="E37" s="39" t="n">
        <f aca="false">E12*Assumptions!$C$38</f>
        <v>25.0446875</v>
      </c>
      <c r="F37" s="39" t="n">
        <f aca="false">F12*Assumptions!$C$38</f>
        <v>27.305865</v>
      </c>
      <c r="G37" s="39" t="n">
        <f aca="false">G12*Assumptions!$C$38</f>
        <v>29.748222925</v>
      </c>
      <c r="H37" s="39" t="n">
        <f aca="false">H12*Assumptions!$C$38</f>
        <v>31.23563407125</v>
      </c>
    </row>
    <row r="38" customFormat="false" ht="15" hidden="false" customHeight="false" outlineLevel="0" collapsed="false">
      <c r="A38" s="40" t="s">
        <v>176</v>
      </c>
      <c r="B38" s="47" t="s">
        <v>130</v>
      </c>
      <c r="C38" s="41"/>
      <c r="D38" s="42" t="n">
        <f aca="false">D9-D37-D32-D31</f>
        <v>61.3375</v>
      </c>
      <c r="E38" s="42" t="n">
        <f aca="false">E9-E37-E32-E31</f>
        <v>67.7778125</v>
      </c>
      <c r="F38" s="42" t="n">
        <f aca="false">F9-F37-F32-F31</f>
        <v>74.76197</v>
      </c>
      <c r="G38" s="42" t="n">
        <f aca="false">G9-G37-G32-G31</f>
        <v>81.659706275</v>
      </c>
      <c r="H38" s="42" t="n">
        <f aca="false">H9-H37-H32-H31</f>
        <v>86.47084798875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8" min="3" style="0" width="13"/>
  </cols>
  <sheetData>
    <row r="1" customFormat="false" ht="17.35" hidden="false" customHeight="false" outlineLevel="0" collapsed="false">
      <c r="A1" s="27" t="s">
        <v>177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28"/>
      <c r="B4" s="28" t="s">
        <v>46</v>
      </c>
      <c r="C4" s="29" t="s">
        <v>47</v>
      </c>
      <c r="D4" s="29" t="s">
        <v>29</v>
      </c>
      <c r="E4" s="29" t="s">
        <v>30</v>
      </c>
      <c r="F4" s="29" t="s">
        <v>31</v>
      </c>
      <c r="G4" s="29" t="s">
        <v>32</v>
      </c>
      <c r="H4" s="29" t="s">
        <v>33</v>
      </c>
    </row>
    <row r="6" customFormat="false" ht="15" hidden="false" customHeight="false" outlineLevel="0" collapsed="false">
      <c r="A6" s="30" t="s">
        <v>178</v>
      </c>
      <c r="B6" s="31"/>
      <c r="C6" s="31"/>
      <c r="D6" s="31"/>
      <c r="E6" s="31"/>
      <c r="F6" s="31"/>
      <c r="G6" s="31"/>
      <c r="H6" s="31"/>
    </row>
    <row r="7" customFormat="false" ht="15" hidden="false" customHeight="false" outlineLevel="0" collapsed="false">
      <c r="A7" s="5" t="s">
        <v>179</v>
      </c>
      <c r="B7" s="45" t="s">
        <v>130</v>
      </c>
      <c r="D7" s="39" t="n">
        <f aca="false">C15</f>
        <v>20</v>
      </c>
      <c r="E7" s="39" t="n">
        <f aca="false">D15</f>
        <v>25.17828125</v>
      </c>
      <c r="F7" s="39" t="n">
        <f aca="false">E15</f>
        <v>28.9227150390625</v>
      </c>
      <c r="G7" s="39" t="n">
        <f aca="false">F15</f>
        <v>32.6111769144287</v>
      </c>
      <c r="H7" s="39" t="n">
        <f aca="false">G15</f>
        <v>35.9726274528126</v>
      </c>
    </row>
    <row r="8" customFormat="false" ht="15" hidden="false" customHeight="false" outlineLevel="0" collapsed="false">
      <c r="A8" s="5" t="s">
        <v>180</v>
      </c>
      <c r="B8" s="45" t="s">
        <v>130</v>
      </c>
      <c r="D8" s="9" t="n">
        <f aca="false">'Operating Model'!D33</f>
        <v>24.713125</v>
      </c>
      <c r="E8" s="9" t="n">
        <f aca="false">'Operating Model'!E33</f>
        <v>34.51257890625</v>
      </c>
      <c r="F8" s="9" t="n">
        <f aca="false">'Operating Model'!F33</f>
        <v>45.5219926186523</v>
      </c>
      <c r="G8" s="9" t="n">
        <f aca="false">'Operating Model'!G33</f>
        <v>55.2793328968217</v>
      </c>
      <c r="H8" s="9" t="n">
        <f aca="false">'Operating Model'!H33</f>
        <v>62.9639312218875</v>
      </c>
    </row>
    <row r="9" customFormat="false" ht="15" hidden="false" customHeight="false" outlineLevel="0" collapsed="false">
      <c r="A9" s="5" t="s">
        <v>181</v>
      </c>
      <c r="B9" s="45" t="s">
        <v>130</v>
      </c>
      <c r="D9" s="39" t="n">
        <f aca="false">D25</f>
        <v>4</v>
      </c>
      <c r="E9" s="39" t="n">
        <f aca="false">E25</f>
        <v>4</v>
      </c>
      <c r="F9" s="39" t="n">
        <f aca="false">F25</f>
        <v>4</v>
      </c>
      <c r="G9" s="39" t="n">
        <f aca="false">G25</f>
        <v>4</v>
      </c>
      <c r="H9" s="39" t="n">
        <f aca="false">H25</f>
        <v>4</v>
      </c>
    </row>
    <row r="10" customFormat="false" ht="15" hidden="false" customHeight="false" outlineLevel="0" collapsed="false">
      <c r="A10" s="5" t="s">
        <v>182</v>
      </c>
      <c r="B10" s="45" t="s">
        <v>130</v>
      </c>
      <c r="D10" s="9" t="n">
        <f aca="false">Assumptions!$C$17</f>
        <v>20</v>
      </c>
      <c r="E10" s="9" t="n">
        <f aca="false">Assumptions!$C$17</f>
        <v>20</v>
      </c>
      <c r="F10" s="9" t="n">
        <f aca="false">Assumptions!$C$17</f>
        <v>20</v>
      </c>
      <c r="G10" s="9" t="n">
        <f aca="false">Assumptions!$C$17</f>
        <v>20</v>
      </c>
      <c r="H10" s="9" t="n">
        <f aca="false">Assumptions!$C$17</f>
        <v>20</v>
      </c>
    </row>
    <row r="11" customFormat="false" ht="15" hidden="false" customHeight="false" outlineLevel="0" collapsed="false">
      <c r="A11" s="40" t="s">
        <v>183</v>
      </c>
      <c r="B11" s="47" t="s">
        <v>130</v>
      </c>
      <c r="C11" s="41"/>
      <c r="D11" s="42" t="n">
        <f aca="false">D7+D8-D9-D10</f>
        <v>20.713125</v>
      </c>
      <c r="E11" s="42" t="n">
        <f aca="false">E7+E8-E9-E10</f>
        <v>35.69086015625</v>
      </c>
      <c r="F11" s="42" t="n">
        <f aca="false">F7+F8-F9-F10</f>
        <v>50.4447076577148</v>
      </c>
      <c r="G11" s="42" t="n">
        <f aca="false">G7+G8-G9-G10</f>
        <v>63.8905098112504</v>
      </c>
      <c r="H11" s="42" t="n">
        <f aca="false">H7+H8-H9-H10</f>
        <v>74.9365586747001</v>
      </c>
    </row>
    <row r="12" customFormat="false" ht="15" hidden="false" customHeight="false" outlineLevel="0" collapsed="false">
      <c r="A12" s="5" t="s">
        <v>184</v>
      </c>
      <c r="B12" s="45" t="s">
        <v>130</v>
      </c>
      <c r="D12" s="39" t="n">
        <f aca="false">IF(D11&lt;0,MIN(-D11,Assumptions!$C$25-D18),-MIN(D18,D11))</f>
        <v>-0</v>
      </c>
      <c r="E12" s="39" t="n">
        <f aca="false">IF(E11&lt;0,MIN(-E11,Assumptions!$C$25-E18),-MIN(E18,E11))</f>
        <v>-0</v>
      </c>
      <c r="F12" s="39" t="n">
        <f aca="false">IF(F11&lt;0,MIN(-F11,Assumptions!$C$25-F18),-MIN(F18,F11))</f>
        <v>-0</v>
      </c>
      <c r="G12" s="39" t="n">
        <f aca="false">IF(G11&lt;0,MIN(-G11,Assumptions!$C$25-G18),-MIN(G18,G11))</f>
        <v>-0</v>
      </c>
      <c r="H12" s="39" t="n">
        <f aca="false">IF(H11&lt;0,MIN(-H11,Assumptions!$C$25-H18),-MIN(H18,H11))</f>
        <v>-0</v>
      </c>
    </row>
    <row r="13" customFormat="false" ht="15" hidden="false" customHeight="false" outlineLevel="0" collapsed="false">
      <c r="A13" s="5" t="s">
        <v>185</v>
      </c>
      <c r="B13" s="45" t="s">
        <v>130</v>
      </c>
      <c r="D13" s="39" t="n">
        <f aca="false">MAX(0,D11+D12)</f>
        <v>20.713125</v>
      </c>
      <c r="E13" s="39" t="n">
        <f aca="false">MAX(0,E11+E12)</f>
        <v>35.69086015625</v>
      </c>
      <c r="F13" s="39" t="n">
        <f aca="false">MAX(0,F11+F12)</f>
        <v>50.4447076577148</v>
      </c>
      <c r="G13" s="39" t="n">
        <f aca="false">MAX(0,G11+G12)</f>
        <v>63.8905098112504</v>
      </c>
      <c r="H13" s="39" t="n">
        <f aca="false">MAX(0,H11+H12)</f>
        <v>74.9365586747001</v>
      </c>
    </row>
    <row r="14" customFormat="false" ht="15" hidden="false" customHeight="false" outlineLevel="0" collapsed="false">
      <c r="A14" s="5" t="s">
        <v>186</v>
      </c>
      <c r="B14" s="45" t="s">
        <v>130</v>
      </c>
      <c r="D14" s="39" t="n">
        <f aca="false">D26</f>
        <v>15.53484375</v>
      </c>
      <c r="E14" s="39" t="n">
        <f aca="false">E26</f>
        <v>26.7681451171875</v>
      </c>
      <c r="F14" s="39" t="n">
        <f aca="false">F26</f>
        <v>37.8335307432861</v>
      </c>
      <c r="G14" s="39" t="n">
        <f aca="false">G26</f>
        <v>47.9178823584378</v>
      </c>
      <c r="H14" s="39" t="n">
        <f aca="false">H26</f>
        <v>56.202419006025</v>
      </c>
    </row>
    <row r="15" customFormat="false" ht="15" hidden="false" customHeight="false" outlineLevel="0" collapsed="false">
      <c r="A15" s="40" t="s">
        <v>187</v>
      </c>
      <c r="B15" s="47" t="s">
        <v>130</v>
      </c>
      <c r="C15" s="48" t="n">
        <f aca="false">Transaction!$C$23</f>
        <v>20</v>
      </c>
      <c r="D15" s="42" t="n">
        <f aca="false">D7+D8-D9+D12-D14</f>
        <v>25.17828125</v>
      </c>
      <c r="E15" s="42" t="n">
        <f aca="false">E7+E8-E9+E12-E14</f>
        <v>28.9227150390625</v>
      </c>
      <c r="F15" s="42" t="n">
        <f aca="false">F7+F8-F9+F12-F14</f>
        <v>32.6111769144287</v>
      </c>
      <c r="G15" s="42" t="n">
        <f aca="false">G7+G8-G9+G12-G14</f>
        <v>35.9726274528126</v>
      </c>
      <c r="H15" s="42" t="n">
        <f aca="false">H7+H8-H9+H12-H14</f>
        <v>38.734139668675</v>
      </c>
    </row>
    <row r="16" customFormat="false" ht="15" hidden="false" customHeight="false" outlineLevel="0" collapsed="false">
      <c r="A16" s="5"/>
    </row>
    <row r="17" customFormat="false" ht="15" hidden="false" customHeight="false" outlineLevel="0" collapsed="false">
      <c r="A17" s="30" t="s">
        <v>188</v>
      </c>
      <c r="B17" s="31"/>
      <c r="C17" s="31"/>
      <c r="D17" s="31"/>
      <c r="E17" s="31"/>
      <c r="F17" s="31"/>
      <c r="G17" s="31"/>
      <c r="H17" s="31"/>
    </row>
    <row r="18" customFormat="false" ht="15" hidden="false" customHeight="false" outlineLevel="0" collapsed="false">
      <c r="A18" s="5" t="s">
        <v>189</v>
      </c>
      <c r="B18" s="45" t="s">
        <v>130</v>
      </c>
      <c r="D18" s="39" t="n">
        <f aca="false">C20</f>
        <v>0</v>
      </c>
      <c r="E18" s="39" t="n">
        <f aca="false">D20</f>
        <v>0</v>
      </c>
      <c r="F18" s="39" t="n">
        <f aca="false">E20</f>
        <v>0</v>
      </c>
      <c r="G18" s="39" t="n">
        <f aca="false">F20</f>
        <v>0</v>
      </c>
      <c r="H18" s="39" t="n">
        <f aca="false">G20</f>
        <v>0</v>
      </c>
    </row>
    <row r="19" customFormat="false" ht="15" hidden="false" customHeight="false" outlineLevel="0" collapsed="false">
      <c r="A19" s="5" t="s">
        <v>190</v>
      </c>
      <c r="B19" s="45" t="s">
        <v>130</v>
      </c>
      <c r="D19" s="39" t="n">
        <f aca="false">D12</f>
        <v>-0</v>
      </c>
      <c r="E19" s="39" t="n">
        <f aca="false">E12</f>
        <v>-0</v>
      </c>
      <c r="F19" s="39" t="n">
        <f aca="false">F12</f>
        <v>-0</v>
      </c>
      <c r="G19" s="39" t="n">
        <f aca="false">G12</f>
        <v>-0</v>
      </c>
      <c r="H19" s="39" t="n">
        <f aca="false">H12</f>
        <v>-0</v>
      </c>
    </row>
    <row r="20" customFormat="false" ht="15" hidden="false" customHeight="false" outlineLevel="0" collapsed="false">
      <c r="A20" s="40" t="s">
        <v>191</v>
      </c>
      <c r="B20" s="47" t="s">
        <v>130</v>
      </c>
      <c r="C20" s="48" t="n">
        <f aca="false">Transaction!$C$13</f>
        <v>0</v>
      </c>
      <c r="D20" s="42" t="n">
        <f aca="false">D18+D19</f>
        <v>0</v>
      </c>
      <c r="E20" s="42" t="n">
        <f aca="false">E18+E19</f>
        <v>0</v>
      </c>
      <c r="F20" s="42" t="n">
        <f aca="false">F18+F19</f>
        <v>0</v>
      </c>
      <c r="G20" s="42" t="n">
        <f aca="false">G18+G19</f>
        <v>0</v>
      </c>
      <c r="H20" s="42" t="n">
        <f aca="false">H18+H19</f>
        <v>0</v>
      </c>
    </row>
    <row r="21" customFormat="false" ht="15" hidden="false" customHeight="false" outlineLevel="0" collapsed="false">
      <c r="A21" s="5" t="s">
        <v>192</v>
      </c>
      <c r="B21" s="45" t="s">
        <v>130</v>
      </c>
      <c r="C21" s="39" t="n">
        <f aca="false">Assumptions!$C$25-C20</f>
        <v>75</v>
      </c>
      <c r="D21" s="39" t="n">
        <f aca="false">Assumptions!$C$25-D20</f>
        <v>75</v>
      </c>
      <c r="E21" s="39" t="n">
        <f aca="false">Assumptions!$C$25-E20</f>
        <v>75</v>
      </c>
      <c r="F21" s="39" t="n">
        <f aca="false">Assumptions!$C$25-F20</f>
        <v>75</v>
      </c>
      <c r="G21" s="39" t="n">
        <f aca="false">Assumptions!$C$25-G20</f>
        <v>75</v>
      </c>
      <c r="H21" s="39" t="n">
        <f aca="false">Assumptions!$C$25-H20</f>
        <v>75</v>
      </c>
    </row>
    <row r="22" customFormat="false" ht="15" hidden="false" customHeight="false" outlineLevel="0" collapsed="false">
      <c r="A22" s="5"/>
    </row>
    <row r="23" customFormat="false" ht="15" hidden="false" customHeight="false" outlineLevel="0" collapsed="false">
      <c r="A23" s="30" t="s">
        <v>193</v>
      </c>
      <c r="B23" s="31"/>
      <c r="C23" s="31"/>
      <c r="D23" s="31"/>
      <c r="E23" s="31"/>
      <c r="F23" s="31"/>
      <c r="G23" s="31"/>
      <c r="H23" s="31"/>
    </row>
    <row r="24" customFormat="false" ht="15" hidden="false" customHeight="false" outlineLevel="0" collapsed="false">
      <c r="A24" s="5" t="s">
        <v>189</v>
      </c>
      <c r="B24" s="45" t="s">
        <v>130</v>
      </c>
      <c r="D24" s="39" t="n">
        <f aca="false">C27</f>
        <v>400</v>
      </c>
      <c r="E24" s="39" t="n">
        <f aca="false">D27</f>
        <v>380.46515625</v>
      </c>
      <c r="F24" s="39" t="n">
        <f aca="false">E27</f>
        <v>349.697011132813</v>
      </c>
      <c r="G24" s="39" t="n">
        <f aca="false">F27</f>
        <v>307.863480389526</v>
      </c>
      <c r="H24" s="39" t="n">
        <f aca="false">G27</f>
        <v>255.945598031089</v>
      </c>
    </row>
    <row r="25" customFormat="false" ht="15" hidden="false" customHeight="false" outlineLevel="0" collapsed="false">
      <c r="A25" s="5" t="s">
        <v>194</v>
      </c>
      <c r="B25" s="45" t="s">
        <v>130</v>
      </c>
      <c r="D25" s="39" t="n">
        <f aca="false">MIN(D24,Assumptions!$C$31*$C27)</f>
        <v>4</v>
      </c>
      <c r="E25" s="39" t="n">
        <f aca="false">MIN(E24,Assumptions!$C$31*$C27)</f>
        <v>4</v>
      </c>
      <c r="F25" s="39" t="n">
        <f aca="false">MIN(F24,Assumptions!$C$31*$C27)</f>
        <v>4</v>
      </c>
      <c r="G25" s="39" t="n">
        <f aca="false">MIN(G24,Assumptions!$C$31*$C27)</f>
        <v>4</v>
      </c>
      <c r="H25" s="39" t="n">
        <f aca="false">MIN(H24,Assumptions!$C$31*$C27)</f>
        <v>4</v>
      </c>
    </row>
    <row r="26" customFormat="false" ht="15" hidden="false" customHeight="false" outlineLevel="0" collapsed="false">
      <c r="A26" s="5" t="s">
        <v>195</v>
      </c>
      <c r="B26" s="45" t="s">
        <v>130</v>
      </c>
      <c r="D26" s="39" t="n">
        <f aca="false">MIN(D24-D25,Assumptions!$C$32*D13)</f>
        <v>15.53484375</v>
      </c>
      <c r="E26" s="39" t="n">
        <f aca="false">MIN(E24-E25,Assumptions!$C$32*E13)</f>
        <v>26.7681451171875</v>
      </c>
      <c r="F26" s="39" t="n">
        <f aca="false">MIN(F24-F25,Assumptions!$C$32*F13)</f>
        <v>37.8335307432861</v>
      </c>
      <c r="G26" s="39" t="n">
        <f aca="false">MIN(G24-G25,Assumptions!$C$32*G13)</f>
        <v>47.9178823584378</v>
      </c>
      <c r="H26" s="39" t="n">
        <f aca="false">MIN(H24-H25,Assumptions!$C$32*H13)</f>
        <v>56.202419006025</v>
      </c>
    </row>
    <row r="27" customFormat="false" ht="15" hidden="false" customHeight="false" outlineLevel="0" collapsed="false">
      <c r="A27" s="40" t="s">
        <v>191</v>
      </c>
      <c r="B27" s="47" t="s">
        <v>130</v>
      </c>
      <c r="C27" s="48" t="n">
        <f aca="false">Transaction!$C$14</f>
        <v>400</v>
      </c>
      <c r="D27" s="42" t="n">
        <f aca="false">D24-D25-D26</f>
        <v>380.46515625</v>
      </c>
      <c r="E27" s="42" t="n">
        <f aca="false">E24-E25-E26</f>
        <v>349.697011132813</v>
      </c>
      <c r="F27" s="42" t="n">
        <f aca="false">F24-F25-F26</f>
        <v>307.863480389526</v>
      </c>
      <c r="G27" s="42" t="n">
        <f aca="false">G24-G25-G26</f>
        <v>255.945598031089</v>
      </c>
      <c r="H27" s="42" t="n">
        <f aca="false">H24-H25-H26</f>
        <v>195.743179025064</v>
      </c>
    </row>
    <row r="28" customFormat="false" ht="15" hidden="false" customHeight="false" outlineLevel="0" collapsed="false">
      <c r="A28" s="5"/>
    </row>
    <row r="29" customFormat="false" ht="15" hidden="false" customHeight="false" outlineLevel="0" collapsed="false">
      <c r="A29" s="30" t="s">
        <v>196</v>
      </c>
      <c r="B29" s="31"/>
      <c r="C29" s="31"/>
      <c r="D29" s="31"/>
      <c r="E29" s="31"/>
      <c r="F29" s="31"/>
      <c r="G29" s="31"/>
      <c r="H29" s="31"/>
    </row>
    <row r="30" customFormat="false" ht="15" hidden="false" customHeight="false" outlineLevel="0" collapsed="false">
      <c r="A30" s="5" t="s">
        <v>189</v>
      </c>
      <c r="B30" s="45" t="s">
        <v>130</v>
      </c>
      <c r="D30" s="39" t="n">
        <f aca="false">C31</f>
        <v>150</v>
      </c>
      <c r="E30" s="39" t="n">
        <f aca="false">D31</f>
        <v>150</v>
      </c>
      <c r="F30" s="39" t="n">
        <f aca="false">E31</f>
        <v>150</v>
      </c>
      <c r="G30" s="39" t="n">
        <f aca="false">F31</f>
        <v>150</v>
      </c>
      <c r="H30" s="39" t="n">
        <f aca="false">G31</f>
        <v>150</v>
      </c>
    </row>
    <row r="31" customFormat="false" ht="15" hidden="false" customHeight="false" outlineLevel="0" collapsed="false">
      <c r="A31" s="40" t="s">
        <v>191</v>
      </c>
      <c r="B31" s="47" t="s">
        <v>130</v>
      </c>
      <c r="C31" s="48" t="n">
        <f aca="false">Transaction!$C$15</f>
        <v>150</v>
      </c>
      <c r="D31" s="42" t="n">
        <f aca="false">D30</f>
        <v>150</v>
      </c>
      <c r="E31" s="42" t="n">
        <f aca="false">E30</f>
        <v>150</v>
      </c>
      <c r="F31" s="42" t="n">
        <f aca="false">F30</f>
        <v>150</v>
      </c>
      <c r="G31" s="42" t="n">
        <f aca="false">G30</f>
        <v>150</v>
      </c>
      <c r="H31" s="42" t="n">
        <f aca="false">H30</f>
        <v>150</v>
      </c>
    </row>
    <row r="32" customFormat="false" ht="15" hidden="false" customHeight="false" outlineLevel="0" collapsed="false">
      <c r="A32" s="5"/>
    </row>
    <row r="33" customFormat="false" ht="15" hidden="false" customHeight="false" outlineLevel="0" collapsed="false">
      <c r="A33" s="30" t="s">
        <v>197</v>
      </c>
      <c r="B33" s="31"/>
      <c r="C33" s="31"/>
      <c r="D33" s="31"/>
      <c r="E33" s="31"/>
      <c r="F33" s="31"/>
      <c r="G33" s="31"/>
      <c r="H33" s="31"/>
    </row>
    <row r="34" customFormat="false" ht="15" hidden="false" customHeight="false" outlineLevel="0" collapsed="false">
      <c r="A34" s="20" t="s">
        <v>198</v>
      </c>
      <c r="C34" s="36" t="n">
        <f aca="false">C20+C27+C31</f>
        <v>550</v>
      </c>
      <c r="D34" s="36" t="n">
        <f aca="false">D20+D27+D31</f>
        <v>530.46515625</v>
      </c>
      <c r="E34" s="36" t="n">
        <f aca="false">E20+E27+E31</f>
        <v>499.697011132813</v>
      </c>
      <c r="F34" s="36" t="n">
        <f aca="false">F20+F27+F31</f>
        <v>457.863480389526</v>
      </c>
      <c r="G34" s="36" t="n">
        <f aca="false">G20+G27+G31</f>
        <v>405.945598031089</v>
      </c>
      <c r="H34" s="36" t="n">
        <f aca="false">H20+H27+H31</f>
        <v>345.743179025064</v>
      </c>
    </row>
    <row r="35" customFormat="false" ht="15" hidden="false" customHeight="false" outlineLevel="0" collapsed="false">
      <c r="A35" s="20" t="s">
        <v>199</v>
      </c>
      <c r="C35" s="36" t="n">
        <f aca="false">C34-C15</f>
        <v>530</v>
      </c>
      <c r="D35" s="36" t="n">
        <f aca="false">D34-D15</f>
        <v>505.286875</v>
      </c>
      <c r="E35" s="36" t="n">
        <f aca="false">E34-E15</f>
        <v>470.77429609375</v>
      </c>
      <c r="F35" s="36" t="n">
        <f aca="false">F34-F15</f>
        <v>425.252303475098</v>
      </c>
      <c r="G35" s="36" t="n">
        <f aca="false">G34-G15</f>
        <v>369.972970578276</v>
      </c>
      <c r="H35" s="36" t="n">
        <f aca="false">H34-H15</f>
        <v>307.009039356389</v>
      </c>
    </row>
    <row r="36" customFormat="false" ht="15" hidden="false" customHeight="false" outlineLevel="0" collapsed="false">
      <c r="A36" s="5"/>
    </row>
    <row r="37" customFormat="false" ht="15" hidden="false" customHeight="false" outlineLevel="0" collapsed="false">
      <c r="A37" s="30" t="s">
        <v>200</v>
      </c>
      <c r="B37" s="31"/>
      <c r="C37" s="31"/>
      <c r="D37" s="31"/>
      <c r="E37" s="31"/>
      <c r="F37" s="31"/>
      <c r="G37" s="31"/>
      <c r="H37" s="31"/>
    </row>
    <row r="38" customFormat="false" ht="15" hidden="false" customHeight="false" outlineLevel="0" collapsed="false">
      <c r="A38" s="5" t="s">
        <v>201</v>
      </c>
      <c r="B38" s="45" t="s">
        <v>152</v>
      </c>
      <c r="D38" s="19" t="n">
        <f aca="false">Assumptions!D46</f>
        <v>0.04</v>
      </c>
      <c r="E38" s="19" t="n">
        <f aca="false">Assumptions!E46</f>
        <v>0.0375</v>
      </c>
      <c r="F38" s="19" t="n">
        <f aca="false">Assumptions!F46</f>
        <v>0.035</v>
      </c>
      <c r="G38" s="19" t="n">
        <f aca="false">Assumptions!G46</f>
        <v>0.035</v>
      </c>
      <c r="H38" s="19" t="n">
        <f aca="false">Assumptions!H46</f>
        <v>0.035</v>
      </c>
    </row>
    <row r="39" customFormat="false" ht="15" hidden="false" customHeight="false" outlineLevel="0" collapsed="false">
      <c r="A39" s="5" t="s">
        <v>202</v>
      </c>
      <c r="B39" s="45" t="s">
        <v>152</v>
      </c>
      <c r="D39" s="38" t="n">
        <f aca="false">D38+Assumptions!$C$27</f>
        <v>0.075</v>
      </c>
      <c r="E39" s="38" t="n">
        <f aca="false">E38+Assumptions!$C$27</f>
        <v>0.0725</v>
      </c>
      <c r="F39" s="38" t="n">
        <f aca="false">F38+Assumptions!$C$27</f>
        <v>0.07</v>
      </c>
      <c r="G39" s="38" t="n">
        <f aca="false">G38+Assumptions!$C$27</f>
        <v>0.07</v>
      </c>
      <c r="H39" s="38" t="n">
        <f aca="false">H38+Assumptions!$C$27</f>
        <v>0.07</v>
      </c>
    </row>
    <row r="40" customFormat="false" ht="15" hidden="false" customHeight="false" outlineLevel="0" collapsed="false">
      <c r="A40" s="5" t="s">
        <v>203</v>
      </c>
      <c r="B40" s="45" t="s">
        <v>152</v>
      </c>
      <c r="D40" s="38" t="n">
        <f aca="false">D38+Assumptions!$C$30</f>
        <v>0.0775</v>
      </c>
      <c r="E40" s="38" t="n">
        <f aca="false">E38+Assumptions!$C$30</f>
        <v>0.075</v>
      </c>
      <c r="F40" s="38" t="n">
        <f aca="false">F38+Assumptions!$C$30</f>
        <v>0.0725</v>
      </c>
      <c r="G40" s="38" t="n">
        <f aca="false">G38+Assumptions!$C$30</f>
        <v>0.0725</v>
      </c>
      <c r="H40" s="38" t="n">
        <f aca="false">H38+Assumptions!$C$30</f>
        <v>0.0725</v>
      </c>
    </row>
    <row r="41" customFormat="false" ht="15" hidden="false" customHeight="false" outlineLevel="0" collapsed="false">
      <c r="A41" s="5" t="s">
        <v>204</v>
      </c>
      <c r="B41" s="45" t="s">
        <v>130</v>
      </c>
      <c r="D41" s="39" t="n">
        <f aca="false">D18*D39</f>
        <v>0</v>
      </c>
      <c r="E41" s="39" t="n">
        <f aca="false">E18*E39</f>
        <v>0</v>
      </c>
      <c r="F41" s="39" t="n">
        <f aca="false">F18*F39</f>
        <v>0</v>
      </c>
      <c r="G41" s="39" t="n">
        <f aca="false">G18*G39</f>
        <v>0</v>
      </c>
      <c r="H41" s="39" t="n">
        <f aca="false">H18*H39</f>
        <v>0</v>
      </c>
    </row>
    <row r="42" customFormat="false" ht="15" hidden="false" customHeight="false" outlineLevel="0" collapsed="false">
      <c r="A42" s="5" t="s">
        <v>205</v>
      </c>
      <c r="B42" s="45" t="s">
        <v>130</v>
      </c>
      <c r="D42" s="39" t="n">
        <f aca="false">(Assumptions!$C$25-D18)*Assumptions!$C$28</f>
        <v>0.375</v>
      </c>
      <c r="E42" s="39" t="n">
        <f aca="false">(Assumptions!$C$25-E18)*Assumptions!$C$28</f>
        <v>0.375</v>
      </c>
      <c r="F42" s="39" t="n">
        <f aca="false">(Assumptions!$C$25-F18)*Assumptions!$C$28</f>
        <v>0.375</v>
      </c>
      <c r="G42" s="39" t="n">
        <f aca="false">(Assumptions!$C$25-G18)*Assumptions!$C$28</f>
        <v>0.375</v>
      </c>
      <c r="H42" s="39" t="n">
        <f aca="false">(Assumptions!$C$25-H18)*Assumptions!$C$28</f>
        <v>0.375</v>
      </c>
    </row>
    <row r="43" customFormat="false" ht="15" hidden="false" customHeight="false" outlineLevel="0" collapsed="false">
      <c r="A43" s="5" t="s">
        <v>206</v>
      </c>
      <c r="B43" s="45" t="s">
        <v>130</v>
      </c>
      <c r="D43" s="39" t="n">
        <f aca="false">D24*D40</f>
        <v>31</v>
      </c>
      <c r="E43" s="39" t="n">
        <f aca="false">E24*E40</f>
        <v>28.53488671875</v>
      </c>
      <c r="F43" s="39" t="n">
        <f aca="false">F24*F40</f>
        <v>25.3530333071289</v>
      </c>
      <c r="G43" s="39" t="n">
        <f aca="false">G24*G40</f>
        <v>22.3201023282407</v>
      </c>
      <c r="H43" s="39" t="n">
        <f aca="false">H24*H40</f>
        <v>18.5560558572539</v>
      </c>
    </row>
    <row r="44" customFormat="false" ht="15" hidden="false" customHeight="false" outlineLevel="0" collapsed="false">
      <c r="A44" s="5" t="s">
        <v>207</v>
      </c>
      <c r="B44" s="45" t="s">
        <v>130</v>
      </c>
      <c r="D44" s="39" t="n">
        <f aca="false">D30*Assumptions!$C$34</f>
        <v>13.875</v>
      </c>
      <c r="E44" s="39" t="n">
        <f aca="false">E30*Assumptions!$C$34</f>
        <v>13.875</v>
      </c>
      <c r="F44" s="39" t="n">
        <f aca="false">F30*Assumptions!$C$34</f>
        <v>13.875</v>
      </c>
      <c r="G44" s="39" t="n">
        <f aca="false">G30*Assumptions!$C$34</f>
        <v>13.875</v>
      </c>
      <c r="H44" s="39" t="n">
        <f aca="false">H30*Assumptions!$C$34</f>
        <v>13.875</v>
      </c>
    </row>
    <row r="45" customFormat="false" ht="15" hidden="false" customHeight="false" outlineLevel="0" collapsed="false">
      <c r="A45" s="40" t="s">
        <v>208</v>
      </c>
      <c r="B45" s="47" t="s">
        <v>130</v>
      </c>
      <c r="C45" s="41"/>
      <c r="D45" s="42" t="n">
        <f aca="false">SUM(D41:D44)</f>
        <v>45.25</v>
      </c>
      <c r="E45" s="42" t="n">
        <f aca="false">SUM(E41:E44)</f>
        <v>42.78488671875</v>
      </c>
      <c r="F45" s="42" t="n">
        <f aca="false">SUM(F41:F44)</f>
        <v>39.6030333071289</v>
      </c>
      <c r="G45" s="42" t="n">
        <f aca="false">SUM(G41:G44)</f>
        <v>36.5701023282407</v>
      </c>
      <c r="H45" s="42" t="n">
        <f aca="false">SUM(H41:H44)</f>
        <v>32.8060558572539</v>
      </c>
    </row>
    <row r="46" customFormat="false" ht="15" hidden="false" customHeight="false" outlineLevel="0" collapsed="false">
      <c r="A46" s="5" t="s">
        <v>209</v>
      </c>
      <c r="B46" s="45" t="s">
        <v>130</v>
      </c>
      <c r="D46" s="39" t="n">
        <f aca="false">D7*Assumptions!$C$35</f>
        <v>0.4</v>
      </c>
      <c r="E46" s="39" t="n">
        <f aca="false">E7*Assumptions!$C$35</f>
        <v>0.503565625</v>
      </c>
      <c r="F46" s="39" t="n">
        <f aca="false">F7*Assumptions!$C$35</f>
        <v>0.57845430078125</v>
      </c>
      <c r="G46" s="39" t="n">
        <f aca="false">G7*Assumptions!$C$35</f>
        <v>0.652223538288574</v>
      </c>
      <c r="H46" s="39" t="n">
        <f aca="false">H7*Assumptions!$C$35</f>
        <v>0.719452549056252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8" min="3" style="0" width="13"/>
  </cols>
  <sheetData>
    <row r="1" customFormat="false" ht="17.35" hidden="false" customHeight="false" outlineLevel="0" collapsed="false">
      <c r="A1" s="27" t="s">
        <v>210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28"/>
      <c r="B4" s="28" t="s">
        <v>46</v>
      </c>
      <c r="C4" s="29" t="s">
        <v>47</v>
      </c>
      <c r="D4" s="29" t="s">
        <v>29</v>
      </c>
      <c r="E4" s="29" t="s">
        <v>30</v>
      </c>
      <c r="F4" s="29" t="s">
        <v>31</v>
      </c>
      <c r="G4" s="29" t="s">
        <v>32</v>
      </c>
      <c r="H4" s="29" t="s">
        <v>33</v>
      </c>
    </row>
    <row r="6" customFormat="false" ht="15" hidden="false" customHeight="false" outlineLevel="0" collapsed="false">
      <c r="A6" s="30" t="s">
        <v>211</v>
      </c>
      <c r="B6" s="31"/>
      <c r="C6" s="31"/>
      <c r="D6" s="31"/>
      <c r="E6" s="31"/>
      <c r="F6" s="31"/>
      <c r="G6" s="31"/>
      <c r="H6" s="31"/>
    </row>
    <row r="7" customFormat="false" ht="15" hidden="false" customHeight="false" outlineLevel="0" collapsed="false">
      <c r="A7" s="5" t="s">
        <v>212</v>
      </c>
      <c r="B7" s="45" t="s">
        <v>130</v>
      </c>
      <c r="C7" s="9" t="n">
        <f aca="false">Transaction!$C$23</f>
        <v>20</v>
      </c>
      <c r="D7" s="9" t="n">
        <f aca="false">'Debt Schedule'!D15</f>
        <v>25.17828125</v>
      </c>
      <c r="E7" s="9" t="n">
        <f aca="false">'Debt Schedule'!E15</f>
        <v>28.9227150390625</v>
      </c>
      <c r="F7" s="9" t="n">
        <f aca="false">'Debt Schedule'!F15</f>
        <v>32.6111769144287</v>
      </c>
      <c r="G7" s="9" t="n">
        <f aca="false">'Debt Schedule'!G15</f>
        <v>35.9726274528126</v>
      </c>
      <c r="H7" s="9" t="n">
        <f aca="false">'Debt Schedule'!H15</f>
        <v>38.734139668675</v>
      </c>
    </row>
    <row r="8" customFormat="false" ht="15" hidden="false" customHeight="false" outlineLevel="0" collapsed="false">
      <c r="A8" s="5" t="s">
        <v>213</v>
      </c>
      <c r="B8" s="45" t="s">
        <v>130</v>
      </c>
      <c r="C8" s="9" t="n">
        <f aca="false">'Operating Model'!C30</f>
        <v>60</v>
      </c>
      <c r="D8" s="9" t="n">
        <f aca="false">'Operating Model'!D30</f>
        <v>64.2</v>
      </c>
      <c r="E8" s="9" t="n">
        <f aca="false">'Operating Model'!E30</f>
        <v>68.694</v>
      </c>
      <c r="F8" s="9" t="n">
        <f aca="false">'Operating Model'!F30</f>
        <v>72.81564</v>
      </c>
      <c r="G8" s="9" t="n">
        <f aca="false">'Operating Model'!G30</f>
        <v>77.1845784</v>
      </c>
      <c r="H8" s="9" t="n">
        <f aca="false">'Operating Model'!H30</f>
        <v>81.04380732</v>
      </c>
    </row>
    <row r="9" customFormat="false" ht="15" hidden="false" customHeight="false" outlineLevel="0" collapsed="false">
      <c r="A9" s="5" t="s">
        <v>214</v>
      </c>
      <c r="B9" s="45" t="s">
        <v>130</v>
      </c>
      <c r="C9" s="9" t="n">
        <f aca="false">Assumptions!$C$10</f>
        <v>200</v>
      </c>
      <c r="D9" s="39" t="n">
        <f aca="false">C9+'Operating Model'!D32-'Operating Model'!D11</f>
        <v>202.675</v>
      </c>
      <c r="E9" s="39" t="n">
        <f aca="false">D9+'Operating Model'!E32-'Operating Model'!E11</f>
        <v>205.53725</v>
      </c>
      <c r="F9" s="39" t="n">
        <f aca="false">E9+'Operating Model'!F32-'Operating Model'!F11</f>
        <v>208.571235</v>
      </c>
      <c r="G9" s="39" t="n">
        <f aca="false">F9+'Operating Model'!G32-'Operating Model'!G11</f>
        <v>211.7872591</v>
      </c>
      <c r="H9" s="39" t="n">
        <f aca="false">G9+'Operating Model'!H32-'Operating Model'!H11</f>
        <v>215.164084405</v>
      </c>
    </row>
    <row r="10" customFormat="false" ht="15" hidden="false" customHeight="false" outlineLevel="0" collapsed="false">
      <c r="A10" s="5" t="s">
        <v>215</v>
      </c>
      <c r="B10" s="45" t="s">
        <v>130</v>
      </c>
      <c r="C10" s="9" t="n">
        <f aca="false">Transaction!$C$29</f>
        <v>862</v>
      </c>
      <c r="D10" s="39" t="n">
        <f aca="false">C10</f>
        <v>862</v>
      </c>
      <c r="E10" s="39" t="n">
        <f aca="false">D10</f>
        <v>862</v>
      </c>
      <c r="F10" s="39" t="n">
        <f aca="false">E10</f>
        <v>862</v>
      </c>
      <c r="G10" s="39" t="n">
        <f aca="false">F10</f>
        <v>862</v>
      </c>
      <c r="H10" s="39" t="n">
        <f aca="false">G10</f>
        <v>862</v>
      </c>
    </row>
    <row r="11" customFormat="false" ht="15" hidden="false" customHeight="false" outlineLevel="0" collapsed="false">
      <c r="A11" s="5" t="s">
        <v>216</v>
      </c>
      <c r="B11" s="45" t="s">
        <v>130</v>
      </c>
      <c r="C11" s="9" t="n">
        <f aca="false">Transaction!$C$22</f>
        <v>15.625</v>
      </c>
      <c r="D11" s="39" t="n">
        <f aca="false">C11-'Operating Model'!D15</f>
        <v>13.3928571428571</v>
      </c>
      <c r="E11" s="39" t="n">
        <f aca="false">D11-'Operating Model'!E15</f>
        <v>11.1607142857143</v>
      </c>
      <c r="F11" s="39" t="n">
        <f aca="false">E11-'Operating Model'!F15</f>
        <v>8.92857142857143</v>
      </c>
      <c r="G11" s="39" t="n">
        <f aca="false">F11-'Operating Model'!G15</f>
        <v>6.69642857142857</v>
      </c>
      <c r="H11" s="39" t="n">
        <f aca="false">G11-'Operating Model'!H15</f>
        <v>4.46428571428571</v>
      </c>
    </row>
    <row r="12" customFormat="false" ht="15" hidden="false" customHeight="false" outlineLevel="0" collapsed="false">
      <c r="A12" s="40" t="s">
        <v>217</v>
      </c>
      <c r="B12" s="41"/>
      <c r="C12" s="42" t="n">
        <f aca="false">SUM(C7:C11)</f>
        <v>1157.625</v>
      </c>
      <c r="D12" s="42" t="n">
        <f aca="false">SUM(D7:D11)</f>
        <v>1167.44613839286</v>
      </c>
      <c r="E12" s="42" t="n">
        <f aca="false">SUM(E7:E11)</f>
        <v>1176.31467932478</v>
      </c>
      <c r="F12" s="42" t="n">
        <f aca="false">SUM(F7:F11)</f>
        <v>1184.926623343</v>
      </c>
      <c r="G12" s="42" t="n">
        <f aca="false">SUM(G7:G11)</f>
        <v>1193.64089352424</v>
      </c>
      <c r="H12" s="42" t="n">
        <f aca="false">SUM(H7:H11)</f>
        <v>1201.40631710796</v>
      </c>
    </row>
    <row r="13" customFormat="false" ht="15" hidden="false" customHeight="false" outlineLevel="0" collapsed="false">
      <c r="A13" s="5"/>
    </row>
    <row r="14" customFormat="false" ht="15" hidden="false" customHeight="false" outlineLevel="0" collapsed="false">
      <c r="A14" s="30" t="s">
        <v>218</v>
      </c>
      <c r="B14" s="31"/>
      <c r="C14" s="31"/>
      <c r="D14" s="31"/>
      <c r="E14" s="31"/>
      <c r="F14" s="31"/>
      <c r="G14" s="31"/>
      <c r="H14" s="31"/>
    </row>
    <row r="15" customFormat="false" ht="15" hidden="false" customHeight="false" outlineLevel="0" collapsed="false">
      <c r="A15" s="5" t="s">
        <v>18</v>
      </c>
      <c r="B15" s="45" t="s">
        <v>130</v>
      </c>
      <c r="C15" s="9" t="n">
        <f aca="false">'Debt Schedule'!C20</f>
        <v>0</v>
      </c>
      <c r="D15" s="9" t="n">
        <f aca="false">'Debt Schedule'!D20</f>
        <v>0</v>
      </c>
      <c r="E15" s="9" t="n">
        <f aca="false">'Debt Schedule'!E20</f>
        <v>0</v>
      </c>
      <c r="F15" s="9" t="n">
        <f aca="false">'Debt Schedule'!F20</f>
        <v>0</v>
      </c>
      <c r="G15" s="9" t="n">
        <f aca="false">'Debt Schedule'!G20</f>
        <v>0</v>
      </c>
      <c r="H15" s="9" t="n">
        <f aca="false">'Debt Schedule'!H20</f>
        <v>0</v>
      </c>
    </row>
    <row r="16" customFormat="false" ht="15" hidden="false" customHeight="false" outlineLevel="0" collapsed="false">
      <c r="A16" s="5" t="s">
        <v>20</v>
      </c>
      <c r="B16" s="45" t="s">
        <v>130</v>
      </c>
      <c r="C16" s="9" t="n">
        <f aca="false">'Debt Schedule'!C27</f>
        <v>400</v>
      </c>
      <c r="D16" s="9" t="n">
        <f aca="false">'Debt Schedule'!D27</f>
        <v>380.46515625</v>
      </c>
      <c r="E16" s="9" t="n">
        <f aca="false">'Debt Schedule'!E27</f>
        <v>349.697011132813</v>
      </c>
      <c r="F16" s="9" t="n">
        <f aca="false">'Debt Schedule'!F27</f>
        <v>307.863480389526</v>
      </c>
      <c r="G16" s="9" t="n">
        <f aca="false">'Debt Schedule'!G27</f>
        <v>255.945598031089</v>
      </c>
      <c r="H16" s="9" t="n">
        <f aca="false">'Debt Schedule'!H27</f>
        <v>195.743179025064</v>
      </c>
    </row>
    <row r="17" customFormat="false" ht="15" hidden="false" customHeight="false" outlineLevel="0" collapsed="false">
      <c r="A17" s="5" t="s">
        <v>140</v>
      </c>
      <c r="B17" s="45" t="s">
        <v>130</v>
      </c>
      <c r="C17" s="9" t="n">
        <f aca="false">'Debt Schedule'!C31</f>
        <v>150</v>
      </c>
      <c r="D17" s="9" t="n">
        <f aca="false">'Debt Schedule'!D31</f>
        <v>150</v>
      </c>
      <c r="E17" s="9" t="n">
        <f aca="false">'Debt Schedule'!E31</f>
        <v>150</v>
      </c>
      <c r="F17" s="9" t="n">
        <f aca="false">'Debt Schedule'!F31</f>
        <v>150</v>
      </c>
      <c r="G17" s="9" t="n">
        <f aca="false">'Debt Schedule'!G31</f>
        <v>150</v>
      </c>
      <c r="H17" s="9" t="n">
        <f aca="false">'Debt Schedule'!H31</f>
        <v>150</v>
      </c>
    </row>
    <row r="18" customFormat="false" ht="15" hidden="false" customHeight="false" outlineLevel="0" collapsed="false">
      <c r="A18" s="20" t="s">
        <v>198</v>
      </c>
      <c r="C18" s="36" t="n">
        <f aca="false">SUM(C15:C17)</f>
        <v>550</v>
      </c>
      <c r="D18" s="36" t="n">
        <f aca="false">SUM(D15:D17)</f>
        <v>530.46515625</v>
      </c>
      <c r="E18" s="36" t="n">
        <f aca="false">SUM(E15:E17)</f>
        <v>499.697011132813</v>
      </c>
      <c r="F18" s="36" t="n">
        <f aca="false">SUM(F15:F17)</f>
        <v>457.863480389526</v>
      </c>
      <c r="G18" s="36" t="n">
        <f aca="false">SUM(G15:G17)</f>
        <v>405.945598031089</v>
      </c>
      <c r="H18" s="36" t="n">
        <f aca="false">SUM(H15:H17)</f>
        <v>345.743179025064</v>
      </c>
    </row>
    <row r="19" customFormat="false" ht="15" hidden="false" customHeight="false" outlineLevel="0" collapsed="false">
      <c r="A19" s="5" t="s">
        <v>219</v>
      </c>
      <c r="B19" s="45" t="s">
        <v>130</v>
      </c>
      <c r="C19" s="9" t="n">
        <f aca="false">Transaction!$C$16</f>
        <v>607.625</v>
      </c>
      <c r="D19" s="39" t="n">
        <f aca="false">C19</f>
        <v>607.625</v>
      </c>
      <c r="E19" s="39" t="n">
        <f aca="false">D19</f>
        <v>607.625</v>
      </c>
      <c r="F19" s="39" t="n">
        <f aca="false">E19</f>
        <v>607.625</v>
      </c>
      <c r="G19" s="39" t="n">
        <f aca="false">F19</f>
        <v>607.625</v>
      </c>
      <c r="H19" s="39" t="n">
        <f aca="false">G19</f>
        <v>607.625</v>
      </c>
    </row>
    <row r="20" customFormat="false" ht="15" hidden="false" customHeight="false" outlineLevel="0" collapsed="false">
      <c r="A20" s="5" t="s">
        <v>220</v>
      </c>
      <c r="B20" s="45" t="s">
        <v>130</v>
      </c>
      <c r="C20" s="39" t="n">
        <v>0</v>
      </c>
      <c r="D20" s="39" t="n">
        <f aca="false">C20+'Operating Model'!D24</f>
        <v>29.3559821428571</v>
      </c>
      <c r="E20" s="39" t="n">
        <f aca="false">D20+'Operating Model'!E24</f>
        <v>68.9926681919643</v>
      </c>
      <c r="F20" s="39" t="n">
        <f aca="false">E20+'Operating Model'!F24</f>
        <v>119.438142953474</v>
      </c>
      <c r="G20" s="39" t="n">
        <f aca="false">F20+'Operating Model'!G24</f>
        <v>180.070295493153</v>
      </c>
      <c r="H20" s="39" t="n">
        <f aca="false">G20+'Operating Model'!H24</f>
        <v>248.038138082897</v>
      </c>
    </row>
    <row r="21" customFormat="false" ht="15" hidden="false" customHeight="false" outlineLevel="0" collapsed="false">
      <c r="A21" s="20" t="s">
        <v>221</v>
      </c>
      <c r="C21" s="36" t="n">
        <f aca="false">C19+C20</f>
        <v>607.625</v>
      </c>
      <c r="D21" s="36" t="n">
        <f aca="false">D19+D20</f>
        <v>636.980982142857</v>
      </c>
      <c r="E21" s="36" t="n">
        <f aca="false">E19+E20</f>
        <v>676.617668191964</v>
      </c>
      <c r="F21" s="36" t="n">
        <f aca="false">F19+F20</f>
        <v>727.063142953474</v>
      </c>
      <c r="G21" s="36" t="n">
        <f aca="false">G19+G20</f>
        <v>787.695295493153</v>
      </c>
      <c r="H21" s="36" t="n">
        <f aca="false">H19+H20</f>
        <v>855.663138082897</v>
      </c>
    </row>
    <row r="22" customFormat="false" ht="15" hidden="false" customHeight="false" outlineLevel="0" collapsed="false">
      <c r="A22" s="40" t="s">
        <v>222</v>
      </c>
      <c r="B22" s="41"/>
      <c r="C22" s="42" t="n">
        <f aca="false">C18+C21</f>
        <v>1157.625</v>
      </c>
      <c r="D22" s="42" t="n">
        <f aca="false">D18+D21</f>
        <v>1167.44613839286</v>
      </c>
      <c r="E22" s="42" t="n">
        <f aca="false">E18+E21</f>
        <v>1176.31467932478</v>
      </c>
      <c r="F22" s="42" t="n">
        <f aca="false">F18+F21</f>
        <v>1184.926623343</v>
      </c>
      <c r="G22" s="42" t="n">
        <f aca="false">G18+G21</f>
        <v>1193.64089352424</v>
      </c>
      <c r="H22" s="42" t="n">
        <f aca="false">H18+H21</f>
        <v>1201.40631710796</v>
      </c>
    </row>
    <row r="23" customFormat="false" ht="15" hidden="false" customHeight="false" outlineLevel="0" collapsed="false">
      <c r="A23" s="5"/>
    </row>
    <row r="24" customFormat="false" ht="15" hidden="false" customHeight="false" outlineLevel="0" collapsed="false">
      <c r="A24" s="20" t="s">
        <v>223</v>
      </c>
      <c r="C24" s="49" t="n">
        <f aca="false">ROUND(C12-C22,6)</f>
        <v>0</v>
      </c>
      <c r="D24" s="49" t="n">
        <f aca="false">ROUND(D12-D22,6)</f>
        <v>0</v>
      </c>
      <c r="E24" s="49" t="n">
        <f aca="false">ROUND(E12-E22,6)</f>
        <v>0</v>
      </c>
      <c r="F24" s="49" t="n">
        <f aca="false">ROUND(F12-F22,6)</f>
        <v>0</v>
      </c>
      <c r="G24" s="49" t="n">
        <f aca="false">ROUND(G12-G22,6)</f>
        <v>0</v>
      </c>
      <c r="H24" s="49" t="n">
        <f aca="false">ROUND(H12-H22,6)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8" min="3" style="0" width="13"/>
  </cols>
  <sheetData>
    <row r="1" customFormat="false" ht="17.35" hidden="false" customHeight="false" outlineLevel="0" collapsed="false">
      <c r="A1" s="27" t="s">
        <v>224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28"/>
      <c r="B4" s="28" t="s">
        <v>46</v>
      </c>
      <c r="C4" s="29" t="s">
        <v>47</v>
      </c>
      <c r="D4" s="29" t="s">
        <v>29</v>
      </c>
      <c r="E4" s="29" t="s">
        <v>30</v>
      </c>
      <c r="F4" s="29" t="s">
        <v>31</v>
      </c>
      <c r="G4" s="29" t="s">
        <v>32</v>
      </c>
      <c r="H4" s="29" t="s">
        <v>33</v>
      </c>
    </row>
    <row r="6" customFormat="false" ht="15" hidden="false" customHeight="false" outlineLevel="0" collapsed="false">
      <c r="A6" s="30" t="s">
        <v>225</v>
      </c>
      <c r="B6" s="31"/>
      <c r="C6" s="31"/>
      <c r="D6" s="31"/>
      <c r="E6" s="31"/>
      <c r="F6" s="31"/>
      <c r="G6" s="31"/>
      <c r="H6" s="31"/>
    </row>
    <row r="7" customFormat="false" ht="15" hidden="false" customHeight="false" outlineLevel="0" collapsed="false">
      <c r="A7" s="5" t="s">
        <v>5</v>
      </c>
      <c r="D7" s="50" t="n">
        <v>1</v>
      </c>
      <c r="E7" s="50" t="n">
        <v>2</v>
      </c>
      <c r="F7" s="50" t="n">
        <v>3</v>
      </c>
      <c r="G7" s="50" t="n">
        <v>4</v>
      </c>
      <c r="H7" s="50" t="n">
        <v>5</v>
      </c>
    </row>
    <row r="8" customFormat="false" ht="15" hidden="false" customHeight="false" outlineLevel="0" collapsed="false">
      <c r="A8" s="5" t="s">
        <v>226</v>
      </c>
      <c r="B8" s="45" t="s">
        <v>130</v>
      </c>
      <c r="D8" s="9" t="n">
        <f aca="false">'Operating Model'!D9</f>
        <v>109.675</v>
      </c>
      <c r="E8" s="9" t="n">
        <f aca="false">'Operating Model'!E9</f>
        <v>120.2145</v>
      </c>
      <c r="F8" s="9" t="n">
        <f aca="false">'Operating Model'!F9</f>
        <v>130.461355</v>
      </c>
      <c r="G8" s="9" t="n">
        <f aca="false">'Operating Model'!G9</f>
        <v>141.5050604</v>
      </c>
      <c r="H8" s="9" t="n">
        <f aca="false">'Operating Model'!H9</f>
        <v>148.58031342</v>
      </c>
    </row>
    <row r="9" customFormat="false" ht="15" hidden="false" customHeight="false" outlineLevel="0" collapsed="false">
      <c r="A9" s="5" t="s">
        <v>227</v>
      </c>
      <c r="B9" s="45" t="s">
        <v>130</v>
      </c>
      <c r="D9" s="39" t="n">
        <f aca="false">Assumptions!$C$21*D8</f>
        <v>1206.425</v>
      </c>
      <c r="E9" s="39" t="n">
        <f aca="false">Assumptions!$C$21*E8</f>
        <v>1322.3595</v>
      </c>
      <c r="F9" s="39" t="n">
        <f aca="false">Assumptions!$C$21*F8</f>
        <v>1435.074905</v>
      </c>
      <c r="G9" s="39" t="n">
        <f aca="false">Assumptions!$C$21*G8</f>
        <v>1556.5556644</v>
      </c>
      <c r="H9" s="39" t="n">
        <f aca="false">Assumptions!$C$21*H8</f>
        <v>1634.38344762</v>
      </c>
    </row>
    <row r="10" customFormat="false" ht="15" hidden="false" customHeight="false" outlineLevel="0" collapsed="false">
      <c r="A10" s="5" t="s">
        <v>228</v>
      </c>
      <c r="B10" s="45" t="s">
        <v>130</v>
      </c>
      <c r="D10" s="9" t="n">
        <f aca="false">'Debt Schedule'!D35</f>
        <v>505.286875</v>
      </c>
      <c r="E10" s="9" t="n">
        <f aca="false">'Debt Schedule'!E35</f>
        <v>470.77429609375</v>
      </c>
      <c r="F10" s="9" t="n">
        <f aca="false">'Debt Schedule'!F35</f>
        <v>425.252303475098</v>
      </c>
      <c r="G10" s="9" t="n">
        <f aca="false">'Debt Schedule'!G35</f>
        <v>369.972970578276</v>
      </c>
      <c r="H10" s="9" t="n">
        <f aca="false">'Debt Schedule'!H35</f>
        <v>307.009039356389</v>
      </c>
    </row>
    <row r="11" customFormat="false" ht="15" hidden="false" customHeight="false" outlineLevel="0" collapsed="false">
      <c r="A11" s="20" t="s">
        <v>229</v>
      </c>
      <c r="B11" s="45" t="s">
        <v>130</v>
      </c>
      <c r="D11" s="36" t="n">
        <f aca="false">D9-D10</f>
        <v>701.138125</v>
      </c>
      <c r="E11" s="36" t="n">
        <f aca="false">E9-E10</f>
        <v>851.58520390625</v>
      </c>
      <c r="F11" s="36" t="n">
        <f aca="false">F9-F10</f>
        <v>1009.8226015249</v>
      </c>
      <c r="G11" s="36" t="n">
        <f aca="false">G9-G10</f>
        <v>1186.58269382172</v>
      </c>
      <c r="H11" s="36" t="n">
        <f aca="false">H9-H10</f>
        <v>1327.37440826361</v>
      </c>
    </row>
    <row r="12" customFormat="false" ht="15" hidden="false" customHeight="false" outlineLevel="0" collapsed="false">
      <c r="A12" s="5" t="s">
        <v>230</v>
      </c>
      <c r="B12" s="45" t="s">
        <v>130</v>
      </c>
      <c r="D12" s="9" t="n">
        <f aca="false">Transaction!$C$16</f>
        <v>607.625</v>
      </c>
      <c r="E12" s="9" t="n">
        <f aca="false">Transaction!$C$16</f>
        <v>607.625</v>
      </c>
      <c r="F12" s="9" t="n">
        <f aca="false">Transaction!$C$16</f>
        <v>607.625</v>
      </c>
      <c r="G12" s="9" t="n">
        <f aca="false">Transaction!$C$16</f>
        <v>607.625</v>
      </c>
      <c r="H12" s="9" t="n">
        <f aca="false">Transaction!$C$16</f>
        <v>607.625</v>
      </c>
    </row>
    <row r="13" customFormat="false" ht="15" hidden="false" customHeight="false" outlineLevel="0" collapsed="false">
      <c r="A13" s="5" t="s">
        <v>231</v>
      </c>
      <c r="B13" s="45" t="s">
        <v>130</v>
      </c>
      <c r="D13" s="39" t="n">
        <f aca="false">D11-D12</f>
        <v>93.513125</v>
      </c>
      <c r="E13" s="39" t="n">
        <f aca="false">E11-E12</f>
        <v>243.96020390625</v>
      </c>
      <c r="F13" s="39" t="n">
        <f aca="false">F11-F12</f>
        <v>402.197601524902</v>
      </c>
      <c r="G13" s="39" t="n">
        <f aca="false">G11-G12</f>
        <v>578.957693821724</v>
      </c>
      <c r="H13" s="39" t="n">
        <f aca="false">H11-H12</f>
        <v>719.749408263612</v>
      </c>
    </row>
    <row r="14" customFormat="false" ht="15" hidden="false" customHeight="false" outlineLevel="0" collapsed="false">
      <c r="A14" s="5" t="s">
        <v>232</v>
      </c>
      <c r="B14" s="45" t="s">
        <v>130</v>
      </c>
      <c r="D14" s="39" t="n">
        <f aca="false">Assumptions!$C$22*MAX(0,D13)</f>
        <v>7.48105</v>
      </c>
      <c r="E14" s="39" t="n">
        <f aca="false">Assumptions!$C$22*MAX(0,E13)</f>
        <v>19.5168163125</v>
      </c>
      <c r="F14" s="39" t="n">
        <f aca="false">Assumptions!$C$22*MAX(0,F13)</f>
        <v>32.1758081219922</v>
      </c>
      <c r="G14" s="39" t="n">
        <f aca="false">Assumptions!$C$22*MAX(0,G13)</f>
        <v>46.3166155057379</v>
      </c>
      <c r="H14" s="39" t="n">
        <f aca="false">Assumptions!$C$22*MAX(0,H13)</f>
        <v>57.5799526610889</v>
      </c>
    </row>
    <row r="15" customFormat="false" ht="15" hidden="false" customHeight="false" outlineLevel="0" collapsed="false">
      <c r="A15" s="40" t="s">
        <v>13</v>
      </c>
      <c r="B15" s="47" t="s">
        <v>130</v>
      </c>
      <c r="C15" s="41"/>
      <c r="D15" s="42" t="n">
        <f aca="false">D11-D14</f>
        <v>693.657075</v>
      </c>
      <c r="E15" s="42" t="n">
        <f aca="false">E11-E14</f>
        <v>832.06838759375</v>
      </c>
      <c r="F15" s="42" t="n">
        <f aca="false">F11-F14</f>
        <v>977.64679340291</v>
      </c>
      <c r="G15" s="42" t="n">
        <f aca="false">G11-G14</f>
        <v>1140.26607831599</v>
      </c>
      <c r="H15" s="42" t="n">
        <f aca="false">H11-H14</f>
        <v>1269.79445560252</v>
      </c>
    </row>
    <row r="16" customFormat="false" ht="15" hidden="false" customHeight="false" outlineLevel="0" collapsed="false">
      <c r="A16" s="20" t="s">
        <v>233</v>
      </c>
      <c r="B16" s="45" t="s">
        <v>234</v>
      </c>
      <c r="D16" s="51" t="n">
        <f aca="false">D15/D12</f>
        <v>1.14158745114174</v>
      </c>
      <c r="E16" s="51" t="n">
        <f aca="false">E15/E12</f>
        <v>1.36937813222588</v>
      </c>
      <c r="F16" s="51" t="n">
        <f aca="false">F15/F12</f>
        <v>1.60896407060755</v>
      </c>
      <c r="G16" s="51" t="n">
        <f aca="false">G15/G12</f>
        <v>1.87659506820158</v>
      </c>
      <c r="H16" s="51" t="n">
        <f aca="false">H15/H12</f>
        <v>2.08976664160053</v>
      </c>
    </row>
    <row r="17" customFormat="false" ht="15" hidden="false" customHeight="false" outlineLevel="0" collapsed="false">
      <c r="A17" s="20" t="s">
        <v>235</v>
      </c>
      <c r="B17" s="45" t="s">
        <v>152</v>
      </c>
      <c r="D17" s="35" t="n">
        <f aca="false">IF(D15&gt;0,(D15/D12)^(1/D7)-1,-1)</f>
        <v>0.14158745114174</v>
      </c>
      <c r="E17" s="35" t="n">
        <f aca="false">IF(E15&gt;0,(E15/E12)^(1/E7)-1,-1)</f>
        <v>0.170204312171973</v>
      </c>
      <c r="F17" s="35" t="n">
        <f aca="false">IF(F15&gt;0,(F15/F12)^(1/F7)-1,-1)</f>
        <v>0.171787287254785</v>
      </c>
      <c r="G17" s="35" t="n">
        <f aca="false">IF(G15&gt;0,(G15/G12)^(1/G7)-1,-1)</f>
        <v>0.17042244788023</v>
      </c>
      <c r="H17" s="35" t="n">
        <f aca="false">IF(H15&gt;0,(H15/H12)^(1/H7)-1,-1)</f>
        <v>0.158829542925986</v>
      </c>
    </row>
    <row r="18" customFormat="false" ht="15" hidden="false" customHeight="false" outlineLevel="0" collapsed="false">
      <c r="A18" s="5"/>
    </row>
    <row r="19" customFormat="false" ht="15" hidden="false" customHeight="false" outlineLevel="0" collapsed="false">
      <c r="A19" s="30" t="s">
        <v>236</v>
      </c>
      <c r="B19" s="31"/>
      <c r="C19" s="31"/>
      <c r="D19" s="31"/>
      <c r="E19" s="31"/>
      <c r="F19" s="31"/>
      <c r="G19" s="31"/>
      <c r="H19" s="31"/>
    </row>
    <row r="20" customFormat="false" ht="15" hidden="false" customHeight="false" outlineLevel="0" collapsed="false">
      <c r="A20" s="5" t="s">
        <v>237</v>
      </c>
      <c r="C20" s="6" t="n">
        <f aca="false">Assumptions!$C$20</f>
        <v>5</v>
      </c>
    </row>
    <row r="21" customFormat="false" ht="15" hidden="false" customHeight="false" outlineLevel="0" collapsed="false">
      <c r="A21" s="5" t="s">
        <v>13</v>
      </c>
      <c r="C21" s="39" t="n">
        <f aca="false">INDEX($D15:$H15,C20)</f>
        <v>1269.79445560252</v>
      </c>
    </row>
    <row r="22" customFormat="false" ht="15" hidden="false" customHeight="false" outlineLevel="0" collapsed="false">
      <c r="A22" s="20" t="s">
        <v>233</v>
      </c>
      <c r="C22" s="51" t="n">
        <f aca="false">INDEX($D16:$H16,C20)</f>
        <v>2.08976664160053</v>
      </c>
    </row>
    <row r="23" customFormat="false" ht="15" hidden="false" customHeight="false" outlineLevel="0" collapsed="false">
      <c r="A23" s="20" t="s">
        <v>235</v>
      </c>
      <c r="C23" s="35" t="n">
        <f aca="false">INDEX($D17:$H17,C20)</f>
        <v>0.158829542925986</v>
      </c>
    </row>
    <row r="24" customFormat="false" ht="15" hidden="false" customHeight="false" outlineLevel="0" collapsed="false">
      <c r="A24" s="5" t="s">
        <v>238</v>
      </c>
      <c r="C24" s="39" t="n">
        <f aca="false">-Transaction!$C$16</f>
        <v>-607.625</v>
      </c>
      <c r="D24" s="39" t="n">
        <f aca="false">IF(D7=$C20,D15,0)</f>
        <v>0</v>
      </c>
      <c r="E24" s="39" t="n">
        <f aca="false">IF(E7=$C20,E15,0)</f>
        <v>0</v>
      </c>
      <c r="F24" s="39" t="n">
        <f aca="false">IF(F7=$C20,F15,0)</f>
        <v>0</v>
      </c>
      <c r="G24" s="39" t="n">
        <f aca="false">IF(G7=$C20,G15,0)</f>
        <v>0</v>
      </c>
      <c r="H24" s="39" t="n">
        <f aca="false">IF(H7=$C20,H15,0)</f>
        <v>1269.79445560252</v>
      </c>
    </row>
    <row r="25" customFormat="false" ht="15" hidden="false" customHeight="false" outlineLevel="0" collapsed="false">
      <c r="A25" s="5" t="s">
        <v>239</v>
      </c>
      <c r="C25" s="38" t="n">
        <f aca="false">IRR(C24:H24,0.1)</f>
        <v>0.158829542925968</v>
      </c>
    </row>
    <row r="26" customFormat="false" ht="15" hidden="false" customHeight="false" outlineLevel="0" collapsed="false">
      <c r="A26" s="5"/>
    </row>
    <row r="27" customFormat="false" ht="15" hidden="false" customHeight="false" outlineLevel="0" collapsed="false">
      <c r="A27" s="30" t="s">
        <v>240</v>
      </c>
      <c r="B27" s="31"/>
      <c r="C27" s="31"/>
      <c r="D27" s="30" t="s">
        <v>241</v>
      </c>
      <c r="E27" s="31"/>
      <c r="F27" s="31"/>
      <c r="G27" s="31"/>
      <c r="H27" s="31"/>
    </row>
    <row r="28" customFormat="false" ht="15" hidden="false" customHeight="false" outlineLevel="0" collapsed="false">
      <c r="A28" s="5" t="s">
        <v>242</v>
      </c>
      <c r="C28" s="39" t="n">
        <f aca="false">(INDEX('Operating Model'!$D7:$H7,$C20)-Assumptions!$C$8)*(Assumptions!$C$9/Assumptions!$C$8)*Assumptions!$C$13</f>
        <v>385.8031342</v>
      </c>
      <c r="D28" s="38" t="n">
        <f aca="false">IF($C34=0,0,C28/$C34)</f>
        <v>0.582635050493154</v>
      </c>
    </row>
    <row r="29" customFormat="false" ht="15" hidden="false" customHeight="false" outlineLevel="0" collapsed="false">
      <c r="A29" s="5" t="s">
        <v>243</v>
      </c>
      <c r="C29" s="39" t="n">
        <f aca="false">((INDEX('Operating Model'!$D9:$H9,$C20)/INDEX('Operating Model'!$D7:$H7,$C20))-(Assumptions!$C$9/Assumptions!$C$8))*INDEX('Operating Model'!$D7:$H7,$C20)*Assumptions!$C$13</f>
        <v>148.58031342</v>
      </c>
      <c r="D29" s="38" t="n">
        <f aca="false">IF($C34=0,0,C29/$C34)</f>
        <v>0.224384124279492</v>
      </c>
    </row>
    <row r="30" customFormat="false" ht="15" hidden="false" customHeight="false" outlineLevel="0" collapsed="false">
      <c r="A30" s="5" t="s">
        <v>244</v>
      </c>
      <c r="C30" s="39" t="n">
        <f aca="false">(Assumptions!$C$21-Assumptions!$C$13)*INDEX('Operating Model'!$D9:$H9,$C20)</f>
        <v>0</v>
      </c>
      <c r="D30" s="38" t="n">
        <f aca="false">IF($C34=0,0,C30/$C34)</f>
        <v>0</v>
      </c>
    </row>
    <row r="31" customFormat="false" ht="15" hidden="false" customHeight="false" outlineLevel="0" collapsed="false">
      <c r="A31" s="5" t="s">
        <v>245</v>
      </c>
      <c r="C31" s="39" t="n">
        <f aca="false">'Debt Schedule'!C35-INDEX('Debt Schedule'!$D35:$H35,$C20)</f>
        <v>222.990960643611</v>
      </c>
      <c r="D31" s="38" t="n">
        <f aca="false">IF($C34=0,0,C31/$C34)</f>
        <v>0.336758149680443</v>
      </c>
    </row>
    <row r="32" customFormat="false" ht="15" hidden="false" customHeight="false" outlineLevel="0" collapsed="false">
      <c r="A32" s="5" t="s">
        <v>246</v>
      </c>
      <c r="C32" s="39" t="n">
        <f aca="false">-(Transaction!$C$21+Transaction!$C$22)</f>
        <v>-37.625</v>
      </c>
      <c r="D32" s="38" t="n">
        <f aca="false">IF($C34=0,0,C32/$C34)</f>
        <v>-0.0568208027139581</v>
      </c>
    </row>
    <row r="33" customFormat="false" ht="15" hidden="false" customHeight="false" outlineLevel="0" collapsed="false">
      <c r="A33" s="5" t="s">
        <v>247</v>
      </c>
      <c r="C33" s="39" t="n">
        <f aca="false">-INDEX($D14:$H14,C20)</f>
        <v>-57.5799526610889</v>
      </c>
      <c r="D33" s="38" t="n">
        <f aca="false">IF($C34=0,0,C33/$C34)</f>
        <v>-0.0869565217391305</v>
      </c>
    </row>
    <row r="34" customFormat="false" ht="15" hidden="false" customHeight="false" outlineLevel="0" collapsed="false">
      <c r="A34" s="20" t="s">
        <v>248</v>
      </c>
      <c r="C34" s="36" t="n">
        <f aca="false">SUM(C28:C33)</f>
        <v>662.169455602523</v>
      </c>
      <c r="D34" s="38" t="n">
        <f aca="false">IF($C34=0,0,C34/$C34)</f>
        <v>1</v>
      </c>
    </row>
    <row r="35" customFormat="false" ht="15" hidden="false" customHeight="false" outlineLevel="0" collapsed="false">
      <c r="A35" s="5" t="s">
        <v>249</v>
      </c>
      <c r="C35" s="52" t="n">
        <f aca="false">ROUND(C34-(C21-Transaction!$C$16),6)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8" min="3" style="0" width="13"/>
  </cols>
  <sheetData>
    <row r="1" customFormat="false" ht="17.35" hidden="false" customHeight="false" outlineLevel="0" collapsed="false">
      <c r="A1" s="27" t="s">
        <v>250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28"/>
      <c r="B4" s="28" t="s">
        <v>46</v>
      </c>
      <c r="C4" s="29" t="s">
        <v>47</v>
      </c>
      <c r="D4" s="29" t="s">
        <v>29</v>
      </c>
      <c r="E4" s="29" t="s">
        <v>30</v>
      </c>
      <c r="F4" s="29" t="s">
        <v>31</v>
      </c>
      <c r="G4" s="29" t="s">
        <v>32</v>
      </c>
      <c r="H4" s="29" t="s">
        <v>33</v>
      </c>
    </row>
    <row r="6" customFormat="false" ht="15" hidden="false" customHeight="false" outlineLevel="0" collapsed="false">
      <c r="A6" s="30" t="s">
        <v>251</v>
      </c>
      <c r="B6" s="31"/>
      <c r="C6" s="31"/>
      <c r="D6" s="31"/>
      <c r="E6" s="31"/>
      <c r="F6" s="31"/>
      <c r="G6" s="31"/>
      <c r="H6" s="31"/>
    </row>
    <row r="7" customFormat="false" ht="15" hidden="false" customHeight="false" outlineLevel="0" collapsed="false">
      <c r="A7" s="5" t="s">
        <v>252</v>
      </c>
      <c r="C7" s="37" t="n">
        <f aca="false">IFERROR('Debt Schedule'!C34/'Operating Model'!C9,0)</f>
        <v>5.5</v>
      </c>
      <c r="D7" s="37" t="n">
        <f aca="false">IFERROR('Debt Schedule'!D34/'Operating Model'!D9,0)</f>
        <v>4.83670076361979</v>
      </c>
      <c r="E7" s="37" t="n">
        <f aca="false">IFERROR('Debt Schedule'!E34/'Operating Model'!E9,0)</f>
        <v>4.15671163738827</v>
      </c>
      <c r="F7" s="37" t="n">
        <f aca="false">IFERROR('Debt Schedule'!F34/'Operating Model'!F9,0)</f>
        <v>3.50957170718889</v>
      </c>
      <c r="G7" s="37" t="n">
        <f aca="false">IFERROR('Debt Schedule'!G34/'Operating Model'!G9,0)</f>
        <v>2.86877088977299</v>
      </c>
      <c r="H7" s="37" t="n">
        <f aca="false">IFERROR('Debt Schedule'!H34/'Operating Model'!H9,0)</f>
        <v>2.3269783934816</v>
      </c>
    </row>
    <row r="8" customFormat="false" ht="15" hidden="false" customHeight="false" outlineLevel="0" collapsed="false">
      <c r="A8" s="20" t="s">
        <v>40</v>
      </c>
      <c r="C8" s="51" t="n">
        <f aca="false">IFERROR('Debt Schedule'!C35/'Operating Model'!C9,0)</f>
        <v>5.3</v>
      </c>
      <c r="D8" s="51" t="n">
        <f aca="false">IFERROR('Debt Schedule'!D35/'Operating Model'!D9,0)</f>
        <v>4.60712901755186</v>
      </c>
      <c r="E8" s="51" t="n">
        <f aca="false">IFERROR('Debt Schedule'!E35/'Operating Model'!E9,0)</f>
        <v>3.91611907127468</v>
      </c>
      <c r="F8" s="51" t="n">
        <f aca="false">IFERROR('Debt Schedule'!F35/'Operating Model'!F9,0)</f>
        <v>3.25960360809604</v>
      </c>
      <c r="G8" s="51" t="n">
        <f aca="false">IFERROR('Debt Schedule'!G35/'Operating Model'!G9,0)</f>
        <v>2.61455646555998</v>
      </c>
      <c r="H8" s="51" t="n">
        <f aca="false">IFERROR('Debt Schedule'!H35/'Operating Model'!H9,0)</f>
        <v>2.06628342806459</v>
      </c>
    </row>
    <row r="9" customFormat="false" ht="15" hidden="false" customHeight="false" outlineLevel="0" collapsed="false">
      <c r="A9" s="5" t="s">
        <v>253</v>
      </c>
      <c r="C9" s="37" t="n">
        <f aca="false">IFERROR(('Debt Schedule'!C20+'Debt Schedule'!C27)/'Operating Model'!C9,0)</f>
        <v>4</v>
      </c>
      <c r="D9" s="37" t="n">
        <f aca="false">IFERROR(('Debt Schedule'!D20+'Debt Schedule'!D27)/'Operating Model'!D9,0)</f>
        <v>3.46902353544564</v>
      </c>
      <c r="E9" s="37" t="n">
        <f aca="false">IFERROR(('Debt Schedule'!E20+'Debt Schedule'!E27)/'Operating Model'!E9,0)</f>
        <v>2.9089420255694</v>
      </c>
      <c r="F9" s="37" t="n">
        <f aca="false">IFERROR(('Debt Schedule'!F20+'Debt Schedule'!F27)/'Operating Model'!F9,0)</f>
        <v>2.35980593938739</v>
      </c>
      <c r="G9" s="37" t="n">
        <f aca="false">IFERROR(('Debt Schedule'!G20+'Debt Schedule'!G27)/'Operating Model'!G9,0)</f>
        <v>1.80873812786337</v>
      </c>
      <c r="H9" s="37" t="n">
        <f aca="false">IFERROR(('Debt Schedule'!H20+'Debt Schedule'!H27)/'Operating Model'!H9,0)</f>
        <v>1.3174233821391</v>
      </c>
    </row>
    <row r="10" customFormat="false" ht="15" hidden="false" customHeight="false" outlineLevel="0" collapsed="false">
      <c r="A10" s="5"/>
    </row>
    <row r="11" customFormat="false" ht="15" hidden="false" customHeight="false" outlineLevel="0" collapsed="false">
      <c r="A11" s="30" t="s">
        <v>254</v>
      </c>
      <c r="B11" s="31"/>
      <c r="C11" s="31"/>
      <c r="D11" s="31"/>
      <c r="E11" s="31"/>
      <c r="F11" s="31"/>
      <c r="G11" s="31"/>
      <c r="H11" s="31"/>
    </row>
    <row r="12" customFormat="false" ht="15" hidden="false" customHeight="false" outlineLevel="0" collapsed="false">
      <c r="A12" s="5" t="s">
        <v>41</v>
      </c>
      <c r="B12" s="45" t="s">
        <v>234</v>
      </c>
      <c r="D12" s="37" t="n">
        <f aca="false">IFERROR('Operating Model'!D9/'Debt Schedule'!D45,0)</f>
        <v>2.42375690607735</v>
      </c>
      <c r="E12" s="37" t="n">
        <f aca="false">IFERROR('Operating Model'!E9/'Debt Schedule'!E45,0)</f>
        <v>2.80974215942746</v>
      </c>
      <c r="F12" s="37" t="n">
        <f aca="false">IFERROR('Operating Model'!F9/'Debt Schedule'!F45,0)</f>
        <v>3.29422632827763</v>
      </c>
      <c r="G12" s="37" t="n">
        <f aca="false">IFERROR('Operating Model'!G9/'Debt Schedule'!G45,0)</f>
        <v>3.86941931772297</v>
      </c>
      <c r="H12" s="37" t="n">
        <f aca="false">IFERROR('Operating Model'!H9/'Debt Schedule'!H45,0)</f>
        <v>4.52905140643863</v>
      </c>
    </row>
    <row r="13" customFormat="false" ht="15" hidden="false" customHeight="false" outlineLevel="0" collapsed="false">
      <c r="A13" s="5" t="s">
        <v>255</v>
      </c>
      <c r="B13" s="45" t="s">
        <v>234</v>
      </c>
      <c r="D13" s="37" t="n">
        <f aca="false">IFERROR(('Operating Model'!D9-'Operating Model'!D32)/'Debt Schedule'!D45,0)</f>
        <v>1.95082872928177</v>
      </c>
      <c r="E13" s="37" t="n">
        <f aca="false">IFERROR(('Operating Model'!E9-'Operating Model'!E32)/'Debt Schedule'!E45,0)</f>
        <v>2.27455317667937</v>
      </c>
      <c r="F13" s="37" t="n">
        <f aca="false">IFERROR(('Operating Model'!F9-'Operating Model'!F32)/'Debt Schedule'!F45,0)</f>
        <v>2.68134701138877</v>
      </c>
      <c r="G13" s="37" t="n">
        <f aca="false">IFERROR(('Operating Model'!G9-'Operating Model'!G32)/'Debt Schedule'!G45,0)</f>
        <v>3.16588853268243</v>
      </c>
      <c r="H13" s="37" t="n">
        <f aca="false">IFERROR(('Operating Model'!H9-'Operating Model'!H32)/'Debt Schedule'!H45,0)</f>
        <v>3.70558751435888</v>
      </c>
    </row>
    <row r="14" customFormat="false" ht="15" hidden="false" customHeight="false" outlineLevel="0" collapsed="false">
      <c r="A14" s="5" t="s">
        <v>256</v>
      </c>
      <c r="B14" s="45" t="s">
        <v>234</v>
      </c>
      <c r="D14" s="37" t="n">
        <f aca="false">IFERROR(('Operating Model'!D9-'Operating Model'!D32-'Operating Model'!D23)/('Debt Schedule'!D45+'Debt Schedule'!D25),0)</f>
        <v>1.49772842639594</v>
      </c>
      <c r="E14" s="37" t="n">
        <f aca="false">IFERROR(('Operating Model'!E9-'Operating Model'!E32-'Operating Model'!E23)/('Debt Schedule'!E45+'Debt Schedule'!E25),0)</f>
        <v>1.73748203108125</v>
      </c>
      <c r="F14" s="37" t="n">
        <f aca="false">IFERROR(('Operating Model'!F9-'Operating Model'!F32-'Operating Model'!F23)/('Debt Schedule'!F45+'Debt Schedule'!F25),0)</f>
        <v>2.03353310308582</v>
      </c>
      <c r="G14" s="37" t="n">
        <f aca="false">IFERROR(('Operating Model'!G9-'Operating Model'!G32-'Operating Model'!G23)/('Debt Schedule'!G45+'Debt Schedule'!G25),0)</f>
        <v>2.35558070111769</v>
      </c>
      <c r="H14" s="37" t="n">
        <f aca="false">IFERROR(('Operating Model'!H9-'Operating Model'!H32-'Operating Model'!H23)/('Debt Schedule'!H45+'Debt Schedule'!H25),0)</f>
        <v>2.68732308166053</v>
      </c>
    </row>
    <row r="15" customFormat="false" ht="15" hidden="false" customHeight="false" outlineLevel="0" collapsed="false">
      <c r="A15" s="5"/>
    </row>
    <row r="16" customFormat="false" ht="15" hidden="false" customHeight="false" outlineLevel="0" collapsed="false">
      <c r="A16" s="30" t="s">
        <v>257</v>
      </c>
      <c r="B16" s="31"/>
      <c r="C16" s="31"/>
      <c r="D16" s="31"/>
      <c r="E16" s="31"/>
      <c r="F16" s="31"/>
      <c r="G16" s="31"/>
      <c r="H16" s="31"/>
    </row>
    <row r="17" customFormat="false" ht="15" hidden="false" customHeight="false" outlineLevel="0" collapsed="false">
      <c r="A17" s="5" t="s">
        <v>258</v>
      </c>
      <c r="B17" s="45" t="s">
        <v>152</v>
      </c>
      <c r="D17" s="38" t="n">
        <f aca="false">IFERROR('Operating Model'!D33/'Debt Schedule'!D34,0)</f>
        <v>0.0465876499310599</v>
      </c>
      <c r="E17" s="38" t="n">
        <f aca="false">IFERROR('Operating Model'!E33/'Debt Schedule'!E34,0)</f>
        <v>0.0690670108832751</v>
      </c>
      <c r="F17" s="38" t="n">
        <f aca="false">IFERROR('Operating Model'!F33/'Debt Schedule'!F34,0)</f>
        <v>0.0994226326588104</v>
      </c>
      <c r="G17" s="38" t="n">
        <f aca="false">IFERROR('Operating Model'!G33/'Debt Schedule'!G34,0)</f>
        <v>0.136174239023496</v>
      </c>
      <c r="H17" s="38" t="n">
        <f aca="false">IFERROR('Operating Model'!H33/'Debt Schedule'!H34,0)</f>
        <v>0.182111853658068</v>
      </c>
    </row>
    <row r="18" customFormat="false" ht="15" hidden="false" customHeight="false" outlineLevel="0" collapsed="false">
      <c r="A18" s="5" t="s">
        <v>259</v>
      </c>
      <c r="B18" s="45" t="s">
        <v>152</v>
      </c>
      <c r="D18" s="38" t="n">
        <f aca="false">1-'Debt Schedule'!D34/'Debt Schedule'!C34</f>
        <v>0.0355178977272727</v>
      </c>
      <c r="E18" s="38" t="n">
        <f aca="false">1-'Debt Schedule'!E34/'Debt Schedule'!C34</f>
        <v>0.0914599797585227</v>
      </c>
      <c r="F18" s="38" t="n">
        <f aca="false">1-'Debt Schedule'!F34/'Debt Schedule'!C34</f>
        <v>0.167520944746316</v>
      </c>
      <c r="G18" s="38" t="n">
        <f aca="false">1-'Debt Schedule'!G34/'Debt Schedule'!C34</f>
        <v>0.26191709448893</v>
      </c>
      <c r="H18" s="38" t="n">
        <f aca="false">1-'Debt Schedule'!H34/'Debt Schedule'!C34</f>
        <v>0.371376038136248</v>
      </c>
    </row>
    <row r="19" customFormat="false" ht="15" hidden="false" customHeight="false" outlineLevel="0" collapsed="false">
      <c r="A19" s="5"/>
    </row>
    <row r="20" customFormat="false" ht="15" hidden="false" customHeight="false" outlineLevel="0" collapsed="false">
      <c r="A20" s="30" t="s">
        <v>260</v>
      </c>
      <c r="B20" s="31"/>
      <c r="C20" s="31"/>
      <c r="D20" s="31"/>
      <c r="E20" s="31"/>
      <c r="F20" s="31"/>
      <c r="G20" s="31"/>
      <c r="H20" s="31"/>
    </row>
    <row r="21" customFormat="false" ht="15" hidden="false" customHeight="false" outlineLevel="0" collapsed="false">
      <c r="A21" s="5" t="s">
        <v>261</v>
      </c>
      <c r="B21" s="45" t="s">
        <v>234</v>
      </c>
      <c r="D21" s="14" t="n">
        <f aca="false">Assumptions!D47</f>
        <v>7</v>
      </c>
      <c r="E21" s="14" t="n">
        <f aca="false">Assumptions!E47</f>
        <v>6.75</v>
      </c>
      <c r="F21" s="14" t="n">
        <f aca="false">Assumptions!F47</f>
        <v>6.5</v>
      </c>
      <c r="G21" s="14" t="n">
        <f aca="false">Assumptions!G47</f>
        <v>6.25</v>
      </c>
      <c r="H21" s="14" t="n">
        <f aca="false">Assumptions!H47</f>
        <v>6</v>
      </c>
    </row>
    <row r="22" customFormat="false" ht="15" hidden="false" customHeight="false" outlineLevel="0" collapsed="false">
      <c r="A22" s="5" t="s">
        <v>262</v>
      </c>
      <c r="B22" s="45" t="s">
        <v>152</v>
      </c>
      <c r="D22" s="38" t="n">
        <f aca="false">1-D8/D21</f>
        <v>0.341838711778306</v>
      </c>
      <c r="E22" s="38" t="n">
        <f aca="false">1-E8/E21</f>
        <v>0.41983421166301</v>
      </c>
      <c r="F22" s="38" t="n">
        <f aca="false">1-F8/F21</f>
        <v>0.498522521831379</v>
      </c>
      <c r="G22" s="38" t="n">
        <f aca="false">1-G8/G21</f>
        <v>0.581670965510403</v>
      </c>
      <c r="H22" s="38" t="n">
        <f aca="false">1-H8/H21</f>
        <v>0.655619428655902</v>
      </c>
    </row>
    <row r="23" customFormat="false" ht="15" hidden="false" customHeight="false" outlineLevel="0" collapsed="false">
      <c r="A23" s="5" t="s">
        <v>263</v>
      </c>
      <c r="B23" s="45" t="s">
        <v>152</v>
      </c>
      <c r="D23" s="38" t="n">
        <f aca="false">1-('Debt Schedule'!D35/D21)/'Operating Model'!D9</f>
        <v>0.341838711778306</v>
      </c>
      <c r="E23" s="38" t="n">
        <f aca="false">1-('Debt Schedule'!E35/E21)/'Operating Model'!E9</f>
        <v>0.41983421166301</v>
      </c>
      <c r="F23" s="38" t="n">
        <f aca="false">1-('Debt Schedule'!F35/F21)/'Operating Model'!F9</f>
        <v>0.498522521831379</v>
      </c>
      <c r="G23" s="38" t="n">
        <f aca="false">1-('Debt Schedule'!G35/G21)/'Operating Model'!G9</f>
        <v>0.581670965510403</v>
      </c>
      <c r="H23" s="38" t="n">
        <f aca="false">1-('Debt Schedule'!H35/H21)/'Operating Model'!H9</f>
        <v>0.655619428655902</v>
      </c>
    </row>
    <row r="24" customFormat="false" ht="15" hidden="false" customHeight="false" outlineLevel="0" collapsed="false">
      <c r="A24" s="20" t="s">
        <v>42</v>
      </c>
      <c r="B24" s="45"/>
      <c r="D24" s="53" t="str">
        <f aca="false">IF(D8&gt;D21,"BREACH","OK")</f>
        <v>OK</v>
      </c>
      <c r="E24" s="53" t="str">
        <f aca="false">IF(E8&gt;E21,"BREACH","OK")</f>
        <v>OK</v>
      </c>
      <c r="F24" s="53" t="str">
        <f aca="false">IF(F8&gt;F21,"BREACH","OK")</f>
        <v>OK</v>
      </c>
      <c r="G24" s="53" t="str">
        <f aca="false">IF(G8&gt;G21,"BREACH","OK")</f>
        <v>OK</v>
      </c>
      <c r="H24" s="53" t="str">
        <f aca="false">IF(H8&gt;H21,"BREACH","OK")</f>
        <v>OK</v>
      </c>
    </row>
  </sheetData>
  <conditionalFormatting sqref="D24:H24">
    <cfRule type="expression" priority="2" aboveAverage="0" equalAverage="0" bottom="0" percent="0" rank="0" text="" dxfId="0">
      <formula>D24="BREACH"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9" min="3" style="0" width="12"/>
  </cols>
  <sheetData>
    <row r="1" customFormat="false" ht="17.35" hidden="false" customHeight="false" outlineLevel="0" collapsed="false">
      <c r="A1" s="27" t="s">
        <v>264</v>
      </c>
    </row>
    <row r="2" customFormat="false" ht="15" hidden="false" customHeight="false" outlineLevel="0" collapsed="false">
      <c r="A2" s="2" t="s">
        <v>265</v>
      </c>
    </row>
    <row r="4" customFormat="false" ht="15" hidden="false" customHeight="false" outlineLevel="0" collapsed="false">
      <c r="B4" s="20" t="s">
        <v>266</v>
      </c>
    </row>
    <row r="5" customFormat="false" ht="15" hidden="false" customHeight="false" outlineLevel="0" collapsed="false">
      <c r="B5" s="5" t="s">
        <v>267</v>
      </c>
      <c r="C5" s="6" t="n">
        <f aca="false">Assumptions!$C$20</f>
        <v>5</v>
      </c>
    </row>
    <row r="6" customFormat="false" ht="15" hidden="false" customHeight="false" outlineLevel="0" collapsed="false">
      <c r="B6" s="5" t="s">
        <v>226</v>
      </c>
      <c r="C6" s="39" t="n">
        <f aca="false">INDEX('Operating Model'!$D9:$H9,Assumptions!$C$20)</f>
        <v>148.58031342</v>
      </c>
    </row>
    <row r="7" customFormat="false" ht="15" hidden="false" customHeight="false" outlineLevel="0" collapsed="false">
      <c r="B7" s="5" t="s">
        <v>268</v>
      </c>
      <c r="C7" s="39" t="n">
        <f aca="false">INDEX('Debt Schedule'!$D35:$H35,Assumptions!$C$20)</f>
        <v>307.009039356389</v>
      </c>
    </row>
    <row r="8" customFormat="false" ht="15" hidden="false" customHeight="false" outlineLevel="0" collapsed="false">
      <c r="B8" s="5" t="s">
        <v>54</v>
      </c>
      <c r="C8" s="9" t="n">
        <f aca="false">Assumptions!$C$9</f>
        <v>100</v>
      </c>
    </row>
    <row r="9" customFormat="false" ht="15" hidden="false" customHeight="false" outlineLevel="0" collapsed="false">
      <c r="B9" s="5" t="s">
        <v>269</v>
      </c>
      <c r="C9" s="39" t="n">
        <f aca="false">SUM(Transaction!$C$13:$C$15)</f>
        <v>550</v>
      </c>
    </row>
    <row r="10" customFormat="false" ht="15" hidden="false" customHeight="false" outlineLevel="0" collapsed="false">
      <c r="B10" s="5" t="s">
        <v>23</v>
      </c>
      <c r="C10" s="9" t="n">
        <f aca="false">Transaction!$C$22</f>
        <v>15.625</v>
      </c>
    </row>
    <row r="11" customFormat="false" ht="15" hidden="false" customHeight="false" outlineLevel="0" collapsed="false">
      <c r="B11" s="5" t="s">
        <v>270</v>
      </c>
      <c r="C11" s="9" t="n">
        <f aca="false">Transaction!$C$23</f>
        <v>20</v>
      </c>
    </row>
    <row r="12" customFormat="false" ht="15" hidden="false" customHeight="false" outlineLevel="0" collapsed="false">
      <c r="B12" s="5" t="s">
        <v>271</v>
      </c>
      <c r="C12" s="19" t="n">
        <f aca="false">Assumptions!$C$14</f>
        <v>0.02</v>
      </c>
    </row>
    <row r="13" customFormat="false" ht="15" hidden="false" customHeight="false" outlineLevel="0" collapsed="false">
      <c r="B13" s="5" t="s">
        <v>272</v>
      </c>
      <c r="C13" s="19" t="n">
        <f aca="false">Assumptions!$C$22</f>
        <v>0.08</v>
      </c>
    </row>
    <row r="14" customFormat="false" ht="15" hidden="false" customHeight="false" outlineLevel="0" collapsed="false">
      <c r="B14" s="5" t="s">
        <v>273</v>
      </c>
      <c r="C14" s="11" t="n">
        <f aca="false">Assumptions!$C$13</f>
        <v>11</v>
      </c>
    </row>
    <row r="15" customFormat="false" ht="15" hidden="false" customHeight="false" outlineLevel="0" collapsed="false">
      <c r="B15" s="5" t="s">
        <v>274</v>
      </c>
      <c r="C15" s="11" t="n">
        <f aca="false">Assumptions!$C$21</f>
        <v>11</v>
      </c>
    </row>
    <row r="16" customFormat="false" ht="15" hidden="false" customHeight="false" outlineLevel="0" collapsed="false">
      <c r="B16" s="5" t="s">
        <v>275</v>
      </c>
      <c r="C16" s="9" t="n">
        <f aca="false">Transaction!$C$16</f>
        <v>607.625</v>
      </c>
    </row>
    <row r="17" customFormat="false" ht="15" hidden="false" customHeight="false" outlineLevel="0" collapsed="false">
      <c r="B17" s="5" t="s">
        <v>276</v>
      </c>
      <c r="C17" s="54" t="n">
        <v>0.5</v>
      </c>
    </row>
    <row r="18" customFormat="false" ht="15" hidden="false" customHeight="false" outlineLevel="0" collapsed="false">
      <c r="B18" s="5" t="s">
        <v>277</v>
      </c>
      <c r="C18" s="54" t="n">
        <v>1</v>
      </c>
    </row>
    <row r="21" customFormat="false" ht="15" hidden="false" customHeight="false" outlineLevel="0" collapsed="false">
      <c r="B21" s="55" t="s">
        <v>278</v>
      </c>
    </row>
    <row r="22" customFormat="false" ht="15" hidden="false" customHeight="false" outlineLevel="0" collapsed="false">
      <c r="B22" s="56" t="s">
        <v>279</v>
      </c>
      <c r="C22" s="57" t="n">
        <f aca="false">$C$15+-2*$C$18</f>
        <v>9</v>
      </c>
      <c r="D22" s="57" t="n">
        <f aca="false">$C$15+-1*$C$18</f>
        <v>10</v>
      </c>
      <c r="E22" s="57" t="n">
        <f aca="false">$C$15+0*$C$18</f>
        <v>11</v>
      </c>
      <c r="F22" s="57" t="n">
        <f aca="false">$C$15+1*$C$18</f>
        <v>12</v>
      </c>
      <c r="G22" s="57" t="n">
        <f aca="false">$C$15+2*$C$18</f>
        <v>13</v>
      </c>
    </row>
    <row r="23" customFormat="false" ht="15" hidden="false" customHeight="false" outlineLevel="0" collapsed="false">
      <c r="B23" s="58" t="n">
        <f aca="false">$C$14+-3*$C$17</f>
        <v>9.5</v>
      </c>
      <c r="C23" s="38" t="n">
        <f aca="false">IF(AND(((C$22*$C$6-$C$7)-$C$13*MAX(0,(C$22*$C$6-$C$7)-($B23*$C$8*(1+$C$12)+$C$10+$C$11-$C$9)))&gt;0,($B23*$C$8*(1+$C$12)+$C$10+$C$11-$C$9)&gt;0),(((C$22*$C$6-$C$7)-$C$13*MAX(0,(C$22*$C$6-$C$7)-($B23*$C$8*(1+$C$12)+$C$10+$C$11-$C$9)))/($B23*$C$8*(1+$C$12)+$C$10+$C$11-$C$9))^(1/$C$5)-1,-1)</f>
        <v>0.167032816971521</v>
      </c>
      <c r="D23" s="38" t="n">
        <f aca="false">IF(AND(((D$22*$C$6-$C$7)-$C$13*MAX(0,(D$22*$C$6-$C$7)-($B23*$C$8*(1+$C$12)+$C$10+$C$11-$C$9)))&gt;0,($B23*$C$8*(1+$C$12)+$C$10+$C$11-$C$9)&gt;0),(((D$22*$C$6-$C$7)-$C$13*MAX(0,(D$22*$C$6-$C$7)-($B23*$C$8*(1+$C$12)+$C$10+$C$11-$C$9)))/($B23*$C$8*(1+$C$12)+$C$10+$C$11-$C$9))^(1/$C$5)-1,-1)</f>
        <v>0.197787165718945</v>
      </c>
      <c r="E23" s="38" t="n">
        <f aca="false">IF(AND(((E$22*$C$6-$C$7)-$C$13*MAX(0,(E$22*$C$6-$C$7)-($B23*$C$8*(1+$C$12)+$C$10+$C$11-$C$9)))&gt;0,($B23*$C$8*(1+$C$12)+$C$10+$C$11-$C$9)&gt;0),(((E$22*$C$6-$C$7)-$C$13*MAX(0,(E$22*$C$6-$C$7)-($B23*$C$8*(1+$C$12)+$C$10+$C$11-$C$9)))/($B23*$C$8*(1+$C$12)+$C$10+$C$11-$C$9))^(1/$C$5)-1,-1)</f>
        <v>0.225673220110119</v>
      </c>
      <c r="F23" s="38" t="n">
        <f aca="false">IF(AND(((F$22*$C$6-$C$7)-$C$13*MAX(0,(F$22*$C$6-$C$7)-($B23*$C$8*(1+$C$12)+$C$10+$C$11-$C$9)))&gt;0,($B23*$C$8*(1+$C$12)+$C$10+$C$11-$C$9)&gt;0),(((F$22*$C$6-$C$7)-$C$13*MAX(0,(F$22*$C$6-$C$7)-($B23*$C$8*(1+$C$12)+$C$10+$C$11-$C$9)))/($B23*$C$8*(1+$C$12)+$C$10+$C$11-$C$9))^(1/$C$5)-1,-1)</f>
        <v>0.251230622279879</v>
      </c>
      <c r="G23" s="38" t="n">
        <f aca="false">IF(AND(((G$22*$C$6-$C$7)-$C$13*MAX(0,(G$22*$C$6-$C$7)-($B23*$C$8*(1+$C$12)+$C$10+$C$11-$C$9)))&gt;0,($B23*$C$8*(1+$C$12)+$C$10+$C$11-$C$9)&gt;0),(((G$22*$C$6-$C$7)-$C$13*MAX(0,(G$22*$C$6-$C$7)-($B23*$C$8*(1+$C$12)+$C$10+$C$11-$C$9)))/($B23*$C$8*(1+$C$12)+$C$10+$C$11-$C$9))^(1/$C$5)-1,-1)</f>
        <v>0.274855899121276</v>
      </c>
    </row>
    <row r="24" customFormat="false" ht="15" hidden="false" customHeight="false" outlineLevel="0" collapsed="false">
      <c r="B24" s="58" t="n">
        <f aca="false">$C$14+-2*$C$17</f>
        <v>10</v>
      </c>
      <c r="C24" s="38" t="n">
        <f aca="false">IF(AND(((C$22*$C$6-$C$7)-$C$13*MAX(0,(C$22*$C$6-$C$7)-($B24*$C$8*(1+$C$12)+$C$10+$C$11-$C$9)))&gt;0,($B24*$C$8*(1+$C$12)+$C$10+$C$11-$C$9)&gt;0),(((C$22*$C$6-$C$7)-$C$13*MAX(0,(C$22*$C$6-$C$7)-($B24*$C$8*(1+$C$12)+$C$10+$C$11-$C$9)))/($B24*$C$8*(1+$C$12)+$C$10+$C$11-$C$9))^(1/$C$5)-1,-1)</f>
        <v>0.143424161336091</v>
      </c>
      <c r="D24" s="38" t="n">
        <f aca="false">IF(AND(((D$22*$C$6-$C$7)-$C$13*MAX(0,(D$22*$C$6-$C$7)-($B24*$C$8*(1+$C$12)+$C$10+$C$11-$C$9)))&gt;0,($B24*$C$8*(1+$C$12)+$C$10+$C$11-$C$9)&gt;0),(((D$22*$C$6-$C$7)-$C$13*MAX(0,(D$22*$C$6-$C$7)-($B24*$C$8*(1+$C$12)+$C$10+$C$11-$C$9)))/($B24*$C$8*(1+$C$12)+$C$10+$C$11-$C$9))^(1/$C$5)-1,-1)</f>
        <v>0.173438161648202</v>
      </c>
      <c r="E24" s="38" t="n">
        <f aca="false">IF(AND(((E$22*$C$6-$C$7)-$C$13*MAX(0,(E$22*$C$6-$C$7)-($B24*$C$8*(1+$C$12)+$C$10+$C$11-$C$9)))&gt;0,($B24*$C$8*(1+$C$12)+$C$10+$C$11-$C$9)&gt;0),(((E$22*$C$6-$C$7)-$C$13*MAX(0,(E$22*$C$6-$C$7)-($B24*$C$8*(1+$C$12)+$C$10+$C$11-$C$9)))/($B24*$C$8*(1+$C$12)+$C$10+$C$11-$C$9))^(1/$C$5)-1,-1)</f>
        <v>0.200662648779378</v>
      </c>
      <c r="F24" s="38" t="n">
        <f aca="false">IF(AND(((F$22*$C$6-$C$7)-$C$13*MAX(0,(F$22*$C$6-$C$7)-($B24*$C$8*(1+$C$12)+$C$10+$C$11-$C$9)))&gt;0,($B24*$C$8*(1+$C$12)+$C$10+$C$11-$C$9)&gt;0),(((F$22*$C$6-$C$7)-$C$13*MAX(0,(F$22*$C$6-$C$7)-($B24*$C$8*(1+$C$12)+$C$10+$C$11-$C$9)))/($B24*$C$8*(1+$C$12)+$C$10+$C$11-$C$9))^(1/$C$5)-1,-1)</f>
        <v>0.225620804564843</v>
      </c>
      <c r="G24" s="38" t="n">
        <f aca="false">IF(AND(((G$22*$C$6-$C$7)-$C$13*MAX(0,(G$22*$C$6-$C$7)-($B24*$C$8*(1+$C$12)+$C$10+$C$11-$C$9)))&gt;0,($B24*$C$8*(1+$C$12)+$C$10+$C$11-$C$9)&gt;0),(((G$22*$C$6-$C$7)-$C$13*MAX(0,(G$22*$C$6-$C$7)-($B24*$C$8*(1+$C$12)+$C$10+$C$11-$C$9)))/($B24*$C$8*(1+$C$12)+$C$10+$C$11-$C$9))^(1/$C$5)-1,-1)</f>
        <v>0.248697453900513</v>
      </c>
    </row>
    <row r="25" customFormat="false" ht="15" hidden="false" customHeight="false" outlineLevel="0" collapsed="false">
      <c r="B25" s="58" t="n">
        <f aca="false">$C$14+-1*$C$17</f>
        <v>10.5</v>
      </c>
      <c r="C25" s="38" t="n">
        <f aca="false">IF(AND(((C$22*$C$6-$C$7)-$C$13*MAX(0,(C$22*$C$6-$C$7)-($B25*$C$8*(1+$C$12)+$C$10+$C$11-$C$9)))&gt;0,($B25*$C$8*(1+$C$12)+$C$10+$C$11-$C$9)&gt;0),(((C$22*$C$6-$C$7)-$C$13*MAX(0,(C$22*$C$6-$C$7)-($B25*$C$8*(1+$C$12)+$C$10+$C$11-$C$9)))/($B25*$C$8*(1+$C$12)+$C$10+$C$11-$C$9))^(1/$C$5)-1,-1)</f>
        <v>0.122582821032701</v>
      </c>
      <c r="D25" s="38" t="n">
        <f aca="false">IF(AND(((D$22*$C$6-$C$7)-$C$13*MAX(0,(D$22*$C$6-$C$7)-($B25*$C$8*(1+$C$12)+$C$10+$C$11-$C$9)))&gt;0,($B25*$C$8*(1+$C$12)+$C$10+$C$11-$C$9)&gt;0),(((D$22*$C$6-$C$7)-$C$13*MAX(0,(D$22*$C$6-$C$7)-($B25*$C$8*(1+$C$12)+$C$10+$C$11-$C$9)))/($B25*$C$8*(1+$C$12)+$C$10+$C$11-$C$9))^(1/$C$5)-1,-1)</f>
        <v>0.151934615765542</v>
      </c>
      <c r="E25" s="38" t="n">
        <f aca="false">IF(AND(((E$22*$C$6-$C$7)-$C$13*MAX(0,(E$22*$C$6-$C$7)-($B25*$C$8*(1+$C$12)+$C$10+$C$11-$C$9)))&gt;0,($B25*$C$8*(1+$C$12)+$C$10+$C$11-$C$9)&gt;0),(((E$22*$C$6-$C$7)-$C$13*MAX(0,(E$22*$C$6-$C$7)-($B25*$C$8*(1+$C$12)+$C$10+$C$11-$C$9)))/($B25*$C$8*(1+$C$12)+$C$10+$C$11-$C$9))^(1/$C$5)-1,-1)</f>
        <v>0.178567894905793</v>
      </c>
      <c r="F25" s="38" t="n">
        <f aca="false">IF(AND(((F$22*$C$6-$C$7)-$C$13*MAX(0,(F$22*$C$6-$C$7)-($B25*$C$8*(1+$C$12)+$C$10+$C$11-$C$9)))&gt;0,($B25*$C$8*(1+$C$12)+$C$10+$C$11-$C$9)&gt;0),(((F$22*$C$6-$C$7)-$C$13*MAX(0,(F$22*$C$6-$C$7)-($B25*$C$8*(1+$C$12)+$C$10+$C$11-$C$9)))/($B25*$C$8*(1+$C$12)+$C$10+$C$11-$C$9))^(1/$C$5)-1,-1)</f>
        <v>0.202990937774663</v>
      </c>
      <c r="G25" s="38" t="n">
        <f aca="false">IF(AND(((G$22*$C$6-$C$7)-$C$13*MAX(0,(G$22*$C$6-$C$7)-($B25*$C$8*(1+$C$12)+$C$10+$C$11-$C$9)))&gt;0,($B25*$C$8*(1+$C$12)+$C$10+$C$11-$C$9)&gt;0),(((G$22*$C$6-$C$7)-$C$13*MAX(0,(G$22*$C$6-$C$7)-($B25*$C$8*(1+$C$12)+$C$10+$C$11-$C$9)))/($B25*$C$8*(1+$C$12)+$C$10+$C$11-$C$9))^(1/$C$5)-1,-1)</f>
        <v>0.225577987370631</v>
      </c>
    </row>
    <row r="26" customFormat="false" ht="15" hidden="false" customHeight="false" outlineLevel="0" collapsed="false">
      <c r="B26" s="58" t="n">
        <f aca="false">$C$14+0*$C$17</f>
        <v>11</v>
      </c>
      <c r="C26" s="38" t="n">
        <f aca="false">IF(AND(((C$22*$C$6-$C$7)-$C$13*MAX(0,(C$22*$C$6-$C$7)-($B26*$C$8*(1+$C$12)+$C$10+$C$11-$C$9)))&gt;0,($B26*$C$8*(1+$C$12)+$C$10+$C$11-$C$9)&gt;0),(((C$22*$C$6-$C$7)-$C$13*MAX(0,(C$22*$C$6-$C$7)-($B26*$C$8*(1+$C$12)+$C$10+$C$11-$C$9)))/($B26*$C$8*(1+$C$12)+$C$10+$C$11-$C$9))^(1/$C$5)-1,-1)</f>
        <v>0.10397744148443</v>
      </c>
      <c r="D26" s="38" t="n">
        <f aca="false">IF(AND(((D$22*$C$6-$C$7)-$C$13*MAX(0,(D$22*$C$6-$C$7)-($B26*$C$8*(1+$C$12)+$C$10+$C$11-$C$9)))&gt;0,($B26*$C$8*(1+$C$12)+$C$10+$C$11-$C$9)&gt;0),(((D$22*$C$6-$C$7)-$C$13*MAX(0,(D$22*$C$6-$C$7)-($B26*$C$8*(1+$C$12)+$C$10+$C$11-$C$9)))/($B26*$C$8*(1+$C$12)+$C$10+$C$11-$C$9))^(1/$C$5)-1,-1)</f>
        <v>0.132730421903602</v>
      </c>
      <c r="E26" s="38" t="n">
        <f aca="false">IF(AND(((E$22*$C$6-$C$7)-$C$13*MAX(0,(E$22*$C$6-$C$7)-($B26*$C$8*(1+$C$12)+$C$10+$C$11-$C$9)))&gt;0,($B26*$C$8*(1+$C$12)+$C$10+$C$11-$C$9)&gt;0),(((E$22*$C$6-$C$7)-$C$13*MAX(0,(E$22*$C$6-$C$7)-($B26*$C$8*(1+$C$12)+$C$10+$C$11-$C$9)))/($B26*$C$8*(1+$C$12)+$C$10+$C$11-$C$9))^(1/$C$5)-1,-1)</f>
        <v>0.158829542925986</v>
      </c>
      <c r="F26" s="38" t="n">
        <f aca="false">IF(AND(((F$22*$C$6-$C$7)-$C$13*MAX(0,(F$22*$C$6-$C$7)-($B26*$C$8*(1+$C$12)+$C$10+$C$11-$C$9)))&gt;0,($B26*$C$8*(1+$C$12)+$C$10+$C$11-$C$9)&gt;0),(((F$22*$C$6-$C$7)-$C$13*MAX(0,(F$22*$C$6-$C$7)-($B26*$C$8*(1+$C$12)+$C$10+$C$11-$C$9)))/($B26*$C$8*(1+$C$12)+$C$10+$C$11-$C$9))^(1/$C$5)-1,-1)</f>
        <v>0.182769455832215</v>
      </c>
      <c r="G26" s="38" t="n">
        <f aca="false">IF(AND(((G$22*$C$6-$C$7)-$C$13*MAX(0,(G$22*$C$6-$C$7)-($B26*$C$8*(1+$C$12)+$C$10+$C$11-$C$9)))&gt;0,($B26*$C$8*(1+$C$12)+$C$10+$C$11-$C$9)&gt;0),(((G$22*$C$6-$C$7)-$C$13*MAX(0,(G$22*$C$6-$C$7)-($B26*$C$8*(1+$C$12)+$C$10+$C$11-$C$9)))/($B26*$C$8*(1+$C$12)+$C$10+$C$11-$C$9))^(1/$C$5)-1,-1)</f>
        <v>0.204914736710619</v>
      </c>
    </row>
    <row r="27" customFormat="false" ht="15" hidden="false" customHeight="false" outlineLevel="0" collapsed="false">
      <c r="B27" s="58" t="n">
        <f aca="false">$C$14+1*$C$17</f>
        <v>11.5</v>
      </c>
      <c r="C27" s="38" t="n">
        <f aca="false">IF(AND(((C$22*$C$6-$C$7)-$C$13*MAX(0,(C$22*$C$6-$C$7)-($B27*$C$8*(1+$C$12)+$C$10+$C$11-$C$9)))&gt;0,($B27*$C$8*(1+$C$12)+$C$10+$C$11-$C$9)&gt;0),(((C$22*$C$6-$C$7)-$C$13*MAX(0,(C$22*$C$6-$C$7)-($B27*$C$8*(1+$C$12)+$C$10+$C$11-$C$9)))/($B27*$C$8*(1+$C$12)+$C$10+$C$11-$C$9))^(1/$C$5)-1,-1)</f>
        <v>0.0872129576961727</v>
      </c>
      <c r="D27" s="38" t="n">
        <f aca="false">IF(AND(((D$22*$C$6-$C$7)-$C$13*MAX(0,(D$22*$C$6-$C$7)-($B27*$C$8*(1+$C$12)+$C$10+$C$11-$C$9)))&gt;0,($B27*$C$8*(1+$C$12)+$C$10+$C$11-$C$9)&gt;0),(((D$22*$C$6-$C$7)-$C$13*MAX(0,(D$22*$C$6-$C$7)-($B27*$C$8*(1+$C$12)+$C$10+$C$11-$C$9)))/($B27*$C$8*(1+$C$12)+$C$10+$C$11-$C$9))^(1/$C$5)-1,-1)</f>
        <v>0.115419528147347</v>
      </c>
      <c r="E27" s="38" t="n">
        <f aca="false">IF(AND(((E$22*$C$6-$C$7)-$C$13*MAX(0,(E$22*$C$6-$C$7)-($B27*$C$8*(1+$C$12)+$C$10+$C$11-$C$9)))&gt;0,($B27*$C$8*(1+$C$12)+$C$10+$C$11-$C$9)&gt;0),(((E$22*$C$6-$C$7)-$C$13*MAX(0,(E$22*$C$6-$C$7)-($B27*$C$8*(1+$C$12)+$C$10+$C$11-$C$9)))/($B27*$C$8*(1+$C$12)+$C$10+$C$11-$C$9))^(1/$C$5)-1,-1)</f>
        <v>0.141031630068401</v>
      </c>
      <c r="F27" s="38" t="n">
        <f aca="false">IF(AND(((F$22*$C$6-$C$7)-$C$13*MAX(0,(F$22*$C$6-$C$7)-($B27*$C$8*(1+$C$12)+$C$10+$C$11-$C$9)))&gt;0,($B27*$C$8*(1+$C$12)+$C$10+$C$11-$C$9)&gt;0),(((F$22*$C$6-$C$7)-$C$13*MAX(0,(F$22*$C$6-$C$7)-($B27*$C$8*(1+$C$12)+$C$10+$C$11-$C$9)))/($B27*$C$8*(1+$C$12)+$C$10+$C$11-$C$9))^(1/$C$5)-1,-1)</f>
        <v>0.164531349398034</v>
      </c>
      <c r="G27" s="38" t="n">
        <f aca="false">IF(AND(((G$22*$C$6-$C$7)-$C$13*MAX(0,(G$22*$C$6-$C$7)-($B27*$C$8*(1+$C$12)+$C$10+$C$11-$C$9)))&gt;0,($B27*$C$8*(1+$C$12)+$C$10+$C$11-$C$9)&gt;0),(((G$22*$C$6-$C$7)-$C$13*MAX(0,(G$22*$C$6-$C$7)-($B27*$C$8*(1+$C$12)+$C$10+$C$11-$C$9)))/($B27*$C$8*(1+$C$12)+$C$10+$C$11-$C$9))^(1/$C$5)-1,-1)</f>
        <v>0.186274357089197</v>
      </c>
    </row>
    <row r="28" customFormat="false" ht="15" hidden="false" customHeight="false" outlineLevel="0" collapsed="false">
      <c r="B28" s="58" t="n">
        <f aca="false">$C$14+2*$C$17</f>
        <v>12</v>
      </c>
      <c r="C28" s="38" t="n">
        <f aca="false">IF(AND(((C$22*$C$6-$C$7)-$C$13*MAX(0,(C$22*$C$6-$C$7)-($B28*$C$8*(1+$C$12)+$C$10+$C$11-$C$9)))&gt;0,($B28*$C$8*(1+$C$12)+$C$10+$C$11-$C$9)&gt;0),(((C$22*$C$6-$C$7)-$C$13*MAX(0,(C$22*$C$6-$C$7)-($B28*$C$8*(1+$C$12)+$C$10+$C$11-$C$9)))/($B28*$C$8*(1+$C$12)+$C$10+$C$11-$C$9))^(1/$C$5)-1,-1)</f>
        <v>0.0719881196294359</v>
      </c>
      <c r="D28" s="38" t="n">
        <f aca="false">IF(AND(((D$22*$C$6-$C$7)-$C$13*MAX(0,(D$22*$C$6-$C$7)-($B28*$C$8*(1+$C$12)+$C$10+$C$11-$C$9)))&gt;0,($B28*$C$8*(1+$C$12)+$C$10+$C$11-$C$9)&gt;0),(((D$22*$C$6-$C$7)-$C$13*MAX(0,(D$22*$C$6-$C$7)-($B28*$C$8*(1+$C$12)+$C$10+$C$11-$C$9)))/($B28*$C$8*(1+$C$12)+$C$10+$C$11-$C$9))^(1/$C$5)-1,-1)</f>
        <v>0.0996922918056173</v>
      </c>
      <c r="E28" s="38" t="n">
        <f aca="false">IF(AND(((E$22*$C$6-$C$7)-$C$13*MAX(0,(E$22*$C$6-$C$7)-($B28*$C$8*(1+$C$12)+$C$10+$C$11-$C$9)))&gt;0,($B28*$C$8*(1+$C$12)+$C$10+$C$11-$C$9)&gt;0),(((E$22*$C$6-$C$7)-$C$13*MAX(0,(E$22*$C$6-$C$7)-($B28*$C$8*(1+$C$12)+$C$10+$C$11-$C$9)))/($B28*$C$8*(1+$C$12)+$C$10+$C$11-$C$9))^(1/$C$5)-1,-1)</f>
        <v>0.124856944485607</v>
      </c>
      <c r="F28" s="38" t="n">
        <f aca="false">IF(AND(((F$22*$C$6-$C$7)-$C$13*MAX(0,(F$22*$C$6-$C$7)-($B28*$C$8*(1+$C$12)+$C$10+$C$11-$C$9)))&gt;0,($B28*$C$8*(1+$C$12)+$C$10+$C$11-$C$9)&gt;0),(((F$22*$C$6-$C$7)-$C$13*MAX(0,(F$22*$C$6-$C$7)-($B28*$C$8*(1+$C$12)+$C$10+$C$11-$C$9)))/($B28*$C$8*(1+$C$12)+$C$10+$C$11-$C$9))^(1/$C$5)-1,-1)</f>
        <v>0.14795249858781</v>
      </c>
      <c r="G28" s="38" t="n">
        <f aca="false">IF(AND(((G$22*$C$6-$C$7)-$C$13*MAX(0,(G$22*$C$6-$C$7)-($B28*$C$8*(1+$C$12)+$C$10+$C$11-$C$9)))&gt;0,($B28*$C$8*(1+$C$12)+$C$10+$C$11-$C$9)&gt;0),(((G$22*$C$6-$C$7)-$C$13*MAX(0,(G$22*$C$6-$C$7)-($B28*$C$8*(1+$C$12)+$C$10+$C$11-$C$9)))/($B28*$C$8*(1+$C$12)+$C$10+$C$11-$C$9))^(1/$C$5)-1,-1)</f>
        <v>0.169326364316625</v>
      </c>
    </row>
    <row r="29" customFormat="false" ht="15" hidden="false" customHeight="false" outlineLevel="0" collapsed="false">
      <c r="B29" s="58" t="n">
        <f aca="false">$C$14+3*$C$17</f>
        <v>12.5</v>
      </c>
      <c r="C29" s="38" t="n">
        <f aca="false">IF(AND(((C$22*$C$6-$C$7)-$C$13*MAX(0,(C$22*$C$6-$C$7)-($B29*$C$8*(1+$C$12)+$C$10+$C$11-$C$9)))&gt;0,($B29*$C$8*(1+$C$12)+$C$10+$C$11-$C$9)&gt;0),(((C$22*$C$6-$C$7)-$C$13*MAX(0,(C$22*$C$6-$C$7)-($B29*$C$8*(1+$C$12)+$C$10+$C$11-$C$9)))/($B29*$C$8*(1+$C$12)+$C$10+$C$11-$C$9))^(1/$C$5)-1,-1)</f>
        <v>0.0580682767507679</v>
      </c>
      <c r="D29" s="38" t="n">
        <f aca="false">IF(AND(((D$22*$C$6-$C$7)-$C$13*MAX(0,(D$22*$C$6-$C$7)-($B29*$C$8*(1+$C$12)+$C$10+$C$11-$C$9)))&gt;0,($B29*$C$8*(1+$C$12)+$C$10+$C$11-$C$9)&gt;0),(((D$22*$C$6-$C$7)-$C$13*MAX(0,(D$22*$C$6-$C$7)-($B29*$C$8*(1+$C$12)+$C$10+$C$11-$C$9)))/($B29*$C$8*(1+$C$12)+$C$10+$C$11-$C$9))^(1/$C$5)-1,-1)</f>
        <v>0.0853075134109393</v>
      </c>
      <c r="E29" s="38" t="n">
        <f aca="false">IF(AND(((E$22*$C$6-$C$7)-$C$13*MAX(0,(E$22*$C$6-$C$7)-($B29*$C$8*(1+$C$12)+$C$10+$C$11-$C$9)))&gt;0,($B29*$C$8*(1+$C$12)+$C$10+$C$11-$C$9)&gt;0),(((E$22*$C$6-$C$7)-$C$13*MAX(0,(E$22*$C$6-$C$7)-($B29*$C$8*(1+$C$12)+$C$10+$C$11-$C$9)))/($B29*$C$8*(1+$C$12)+$C$10+$C$11-$C$9))^(1/$C$5)-1,-1)</f>
        <v>0.110058381585992</v>
      </c>
      <c r="F29" s="38" t="n">
        <f aca="false">IF(AND(((F$22*$C$6-$C$7)-$C$13*MAX(0,(F$22*$C$6-$C$7)-($B29*$C$8*(1+$C$12)+$C$10+$C$11-$C$9)))&gt;0,($B29*$C$8*(1+$C$12)+$C$10+$C$11-$C$9)&gt;0),(((F$22*$C$6-$C$7)-$C$13*MAX(0,(F$22*$C$6-$C$7)-($B29*$C$8*(1+$C$12)+$C$10+$C$11-$C$9)))/($B29*$C$8*(1+$C$12)+$C$10+$C$11-$C$9))^(1/$C$5)-1,-1)</f>
        <v>0.132780410298271</v>
      </c>
      <c r="G29" s="38" t="n">
        <f aca="false">IF(AND(((G$22*$C$6-$C$7)-$C$13*MAX(0,(G$22*$C$6-$C$7)-($B29*$C$8*(1+$C$12)+$C$10+$C$11-$C$9)))&gt;0,($B29*$C$8*(1+$C$12)+$C$10+$C$11-$C$9)&gt;0),(((G$22*$C$6-$C$7)-$C$13*MAX(0,(G$22*$C$6-$C$7)-($B29*$C$8*(1+$C$12)+$C$10+$C$11-$C$9)))/($B29*$C$8*(1+$C$12)+$C$10+$C$11-$C$9))^(1/$C$5)-1,-1)</f>
        <v>0.153813301506021</v>
      </c>
    </row>
    <row r="32" customFormat="false" ht="15" hidden="false" customHeight="false" outlineLevel="0" collapsed="false">
      <c r="B32" s="55" t="s">
        <v>280</v>
      </c>
    </row>
    <row r="33" customFormat="false" ht="15" hidden="false" customHeight="false" outlineLevel="0" collapsed="false">
      <c r="B33" s="56" t="s">
        <v>279</v>
      </c>
      <c r="C33" s="57" t="n">
        <f aca="false">$C$15+-2*$C$18</f>
        <v>9</v>
      </c>
      <c r="D33" s="57" t="n">
        <f aca="false">$C$15+-1*$C$18</f>
        <v>10</v>
      </c>
      <c r="E33" s="57" t="n">
        <f aca="false">$C$15+0*$C$18</f>
        <v>11</v>
      </c>
      <c r="F33" s="57" t="n">
        <f aca="false">$C$15+1*$C$18</f>
        <v>12</v>
      </c>
      <c r="G33" s="57" t="n">
        <f aca="false">$C$15+2*$C$18</f>
        <v>13</v>
      </c>
    </row>
    <row r="34" customFormat="false" ht="15" hidden="false" customHeight="false" outlineLevel="0" collapsed="false">
      <c r="B34" s="58" t="n">
        <f aca="false">$C$14+-3*$C$17</f>
        <v>9.5</v>
      </c>
      <c r="C34" s="37" t="n">
        <f aca="false">IFERROR(((C$33*$C$6-$C$7)-$C$13*MAX(0,(C$33*$C$6-$C$7)-($B34*$C$8*(1+$C$12)+$C$10+$C$11-$C$9)))/($B34*$C$8*(1+$C$12)+$C$10+$C$11-$C$9),0)</f>
        <v>2.16478785572664</v>
      </c>
      <c r="D34" s="37" t="n">
        <f aca="false">IFERROR(((D$33*$C$6-$C$7)-$C$13*MAX(0,(D$33*$C$6-$C$7)-($B34*$C$8*(1+$C$12)+$C$10+$C$11-$C$9)))/($B34*$C$8*(1+$C$12)+$C$10+$C$11-$C$9),0)</f>
        <v>2.46546179214984</v>
      </c>
      <c r="E34" s="37" t="n">
        <f aca="false">IFERROR(((E$33*$C$6-$C$7)-$C$13*MAX(0,(E$33*$C$6-$C$7)-($B34*$C$8*(1+$C$12)+$C$10+$C$11-$C$9)))/($B34*$C$8*(1+$C$12)+$C$10+$C$11-$C$9),0)</f>
        <v>2.76613572857305</v>
      </c>
      <c r="F34" s="37" t="n">
        <f aca="false">IFERROR(((F$33*$C$6-$C$7)-$C$13*MAX(0,(F$33*$C$6-$C$7)-($B34*$C$8*(1+$C$12)+$C$10+$C$11-$C$9)))/($B34*$C$8*(1+$C$12)+$C$10+$C$11-$C$9),0)</f>
        <v>3.06680966499626</v>
      </c>
      <c r="G34" s="37" t="n">
        <f aca="false">IFERROR(((G$33*$C$6-$C$7)-$C$13*MAX(0,(G$33*$C$6-$C$7)-($B34*$C$8*(1+$C$12)+$C$10+$C$11-$C$9)))/($B34*$C$8*(1+$C$12)+$C$10+$C$11-$C$9),0)</f>
        <v>3.36748360141946</v>
      </c>
    </row>
    <row r="35" customFormat="false" ht="15" hidden="false" customHeight="false" outlineLevel="0" collapsed="false">
      <c r="B35" s="58" t="n">
        <f aca="false">$C$14+-2*$C$17</f>
        <v>10</v>
      </c>
      <c r="C35" s="37" t="n">
        <f aca="false">IFERROR(((C$33*$C$6-$C$7)-$C$13*MAX(0,(C$33*$C$6-$C$7)-($B35*$C$8*(1+$C$12)+$C$10+$C$11-$C$9)))/($B35*$C$8*(1+$C$12)+$C$10+$C$11-$C$9),0)</f>
        <v>1.95450517460514</v>
      </c>
      <c r="D35" s="37" t="n">
        <f aca="false">IFERROR(((D$33*$C$6-$C$7)-$C$13*MAX(0,(D$33*$C$6-$C$7)-($B35*$C$8*(1+$C$12)+$C$10+$C$11-$C$9)))/($B35*$C$8*(1+$C$12)+$C$10+$C$11-$C$9),0)</f>
        <v>2.22485155452385</v>
      </c>
      <c r="E35" s="37" t="n">
        <f aca="false">IFERROR(((E$33*$C$6-$C$7)-$C$13*MAX(0,(E$33*$C$6-$C$7)-($B35*$C$8*(1+$C$12)+$C$10+$C$11-$C$9)))/($B35*$C$8*(1+$C$12)+$C$10+$C$11-$C$9),0)</f>
        <v>2.49519793444257</v>
      </c>
      <c r="F35" s="37" t="n">
        <f aca="false">IFERROR(((F$33*$C$6-$C$7)-$C$13*MAX(0,(F$33*$C$6-$C$7)-($B35*$C$8*(1+$C$12)+$C$10+$C$11-$C$9)))/($B35*$C$8*(1+$C$12)+$C$10+$C$11-$C$9),0)</f>
        <v>2.76554431436128</v>
      </c>
      <c r="G35" s="37" t="n">
        <f aca="false">IFERROR(((G$33*$C$6-$C$7)-$C$13*MAX(0,(G$33*$C$6-$C$7)-($B35*$C$8*(1+$C$12)+$C$10+$C$11-$C$9)))/($B35*$C$8*(1+$C$12)+$C$10+$C$11-$C$9),0)</f>
        <v>3.03589069428</v>
      </c>
    </row>
    <row r="36" customFormat="false" ht="15" hidden="false" customHeight="false" outlineLevel="0" collapsed="false">
      <c r="B36" s="58" t="n">
        <f aca="false">$C$14+-1*$C$17</f>
        <v>10.5</v>
      </c>
      <c r="C36" s="37" t="n">
        <f aca="false">IFERROR(((C$33*$C$6-$C$7)-$C$13*MAX(0,(C$33*$C$6-$C$7)-($B36*$C$8*(1+$C$12)+$C$10+$C$11-$C$9)))/($B36*$C$8*(1+$C$12)+$C$10+$C$11-$C$9),0)</f>
        <v>1.78275621632108</v>
      </c>
      <c r="D36" s="37" t="n">
        <f aca="false">IFERROR(((D$33*$C$6-$C$7)-$C$13*MAX(0,(D$33*$C$6-$C$7)-($B36*$C$8*(1+$C$12)+$C$10+$C$11-$C$9)))/($B36*$C$8*(1+$C$12)+$C$10+$C$11-$C$9),0)</f>
        <v>2.02833248103503</v>
      </c>
      <c r="E36" s="37" t="n">
        <f aca="false">IFERROR(((E$33*$C$6-$C$7)-$C$13*MAX(0,(E$33*$C$6-$C$7)-($B36*$C$8*(1+$C$12)+$C$10+$C$11-$C$9)))/($B36*$C$8*(1+$C$12)+$C$10+$C$11-$C$9),0)</f>
        <v>2.27390874574897</v>
      </c>
      <c r="F36" s="37" t="n">
        <f aca="false">IFERROR(((F$33*$C$6-$C$7)-$C$13*MAX(0,(F$33*$C$6-$C$7)-($B36*$C$8*(1+$C$12)+$C$10+$C$11-$C$9)))/($B36*$C$8*(1+$C$12)+$C$10+$C$11-$C$9),0)</f>
        <v>2.51948501046292</v>
      </c>
      <c r="G36" s="37" t="n">
        <f aca="false">IFERROR(((G$33*$C$6-$C$7)-$C$13*MAX(0,(G$33*$C$6-$C$7)-($B36*$C$8*(1+$C$12)+$C$10+$C$11-$C$9)))/($B36*$C$8*(1+$C$12)+$C$10+$C$11-$C$9),0)</f>
        <v>2.76506127517687</v>
      </c>
    </row>
    <row r="37" customFormat="false" ht="15" hidden="false" customHeight="false" outlineLevel="0" collapsed="false">
      <c r="B37" s="58" t="n">
        <f aca="false">$C$14+0*$C$17</f>
        <v>11</v>
      </c>
      <c r="C37" s="37" t="n">
        <f aca="false">IFERROR(((C$33*$C$6-$C$7)-$C$13*MAX(0,(C$33*$C$6-$C$7)-($B37*$C$8*(1+$C$12)+$C$10+$C$11-$C$9)))/($B37*$C$8*(1+$C$12)+$C$10+$C$11-$C$9),0)</f>
        <v>1.63983818787858</v>
      </c>
      <c r="D37" s="37" t="n">
        <f aca="false">IFERROR(((D$33*$C$6-$C$7)-$C$13*MAX(0,(D$33*$C$6-$C$7)-($B37*$C$8*(1+$C$12)+$C$10+$C$11-$C$9)))/($B37*$C$8*(1+$C$12)+$C$10+$C$11-$C$9),0)</f>
        <v>1.86480241473956</v>
      </c>
      <c r="E37" s="37" t="n">
        <f aca="false">IFERROR(((E$33*$C$6-$C$7)-$C$13*MAX(0,(E$33*$C$6-$C$7)-($B37*$C$8*(1+$C$12)+$C$10+$C$11-$C$9)))/($B37*$C$8*(1+$C$12)+$C$10+$C$11-$C$9),0)</f>
        <v>2.08976664160053</v>
      </c>
      <c r="F37" s="37" t="n">
        <f aca="false">IFERROR(((F$33*$C$6-$C$7)-$C$13*MAX(0,(F$33*$C$6-$C$7)-($B37*$C$8*(1+$C$12)+$C$10+$C$11-$C$9)))/($B37*$C$8*(1+$C$12)+$C$10+$C$11-$C$9),0)</f>
        <v>2.31473086846151</v>
      </c>
      <c r="G37" s="37" t="n">
        <f aca="false">IFERROR(((G$33*$C$6-$C$7)-$C$13*MAX(0,(G$33*$C$6-$C$7)-($B37*$C$8*(1+$C$12)+$C$10+$C$11-$C$9)))/($B37*$C$8*(1+$C$12)+$C$10+$C$11-$C$9),0)</f>
        <v>2.53969509532248</v>
      </c>
    </row>
    <row r="38" customFormat="false" ht="15" hidden="false" customHeight="false" outlineLevel="0" collapsed="false">
      <c r="B38" s="58" t="n">
        <f aca="false">$C$14+1*$C$17</f>
        <v>11.5</v>
      </c>
      <c r="C38" s="37" t="n">
        <f aca="false">IFERROR(((C$33*$C$6-$C$7)-$C$13*MAX(0,(C$33*$C$6-$C$7)-($B38*$C$8*(1+$C$12)+$C$10+$C$11-$C$9)))/($B38*$C$8*(1+$C$12)+$C$10+$C$11-$C$9),0)</f>
        <v>1.51905360244407</v>
      </c>
      <c r="D38" s="37" t="n">
        <f aca="false">IFERROR(((D$33*$C$6-$C$7)-$C$13*MAX(0,(D$33*$C$6-$C$7)-($B38*$C$8*(1+$C$12)+$C$10+$C$11-$C$9)))/($B38*$C$8*(1+$C$12)+$C$10+$C$11-$C$9),0)</f>
        <v>1.72659793851755</v>
      </c>
      <c r="E38" s="37" t="n">
        <f aca="false">IFERROR(((E$33*$C$6-$C$7)-$C$13*MAX(0,(E$33*$C$6-$C$7)-($B38*$C$8*(1+$C$12)+$C$10+$C$11-$C$9)))/($B38*$C$8*(1+$C$12)+$C$10+$C$11-$C$9),0)</f>
        <v>1.93414227459104</v>
      </c>
      <c r="F38" s="37" t="n">
        <f aca="false">IFERROR(((F$33*$C$6-$C$7)-$C$13*MAX(0,(F$33*$C$6-$C$7)-($B38*$C$8*(1+$C$12)+$C$10+$C$11-$C$9)))/($B38*$C$8*(1+$C$12)+$C$10+$C$11-$C$9),0)</f>
        <v>2.14168661066452</v>
      </c>
      <c r="G38" s="37" t="n">
        <f aca="false">IFERROR(((G$33*$C$6-$C$7)-$C$13*MAX(0,(G$33*$C$6-$C$7)-($B38*$C$8*(1+$C$12)+$C$10+$C$11-$C$9)))/($B38*$C$8*(1+$C$12)+$C$10+$C$11-$C$9),0)</f>
        <v>2.34923094673801</v>
      </c>
    </row>
    <row r="39" customFormat="false" ht="15" hidden="false" customHeight="false" outlineLevel="0" collapsed="false">
      <c r="B39" s="58" t="n">
        <f aca="false">$C$14+2*$C$17</f>
        <v>12</v>
      </c>
      <c r="C39" s="37" t="n">
        <f aca="false">IFERROR(((C$33*$C$6-$C$7)-$C$13*MAX(0,(C$33*$C$6-$C$7)-($B39*$C$8*(1+$C$12)+$C$10+$C$11-$C$9)))/($B39*$C$8*(1+$C$12)+$C$10+$C$11-$C$9),0)</f>
        <v>1.41563033843188</v>
      </c>
      <c r="D39" s="37" t="n">
        <f aca="false">IFERROR(((D$33*$C$6-$C$7)-$C$13*MAX(0,(D$33*$C$6-$C$7)-($B39*$C$8*(1+$C$12)+$C$10+$C$11-$C$9)))/($B39*$C$8*(1+$C$12)+$C$10+$C$11-$C$9),0)</f>
        <v>1.60825868205901</v>
      </c>
      <c r="E39" s="37" t="n">
        <f aca="false">IFERROR(((E$33*$C$6-$C$7)-$C$13*MAX(0,(E$33*$C$6-$C$7)-($B39*$C$8*(1+$C$12)+$C$10+$C$11-$C$9)))/($B39*$C$8*(1+$C$12)+$C$10+$C$11-$C$9),0)</f>
        <v>1.80088702568613</v>
      </c>
      <c r="F39" s="37" t="n">
        <f aca="false">IFERROR(((F$33*$C$6-$C$7)-$C$13*MAX(0,(F$33*$C$6-$C$7)-($B39*$C$8*(1+$C$12)+$C$10+$C$11-$C$9)))/($B39*$C$8*(1+$C$12)+$C$10+$C$11-$C$9),0)</f>
        <v>1.99351536931326</v>
      </c>
      <c r="G39" s="37" t="n">
        <f aca="false">IFERROR(((G$33*$C$6-$C$7)-$C$13*MAX(0,(G$33*$C$6-$C$7)-($B39*$C$8*(1+$C$12)+$C$10+$C$11-$C$9)))/($B39*$C$8*(1+$C$12)+$C$10+$C$11-$C$9),0)</f>
        <v>2.18614371294039</v>
      </c>
    </row>
    <row r="40" customFormat="false" ht="15" hidden="false" customHeight="false" outlineLevel="0" collapsed="false">
      <c r="B40" s="58" t="n">
        <f aca="false">$C$14+3*$C$17</f>
        <v>12.5</v>
      </c>
      <c r="C40" s="37" t="n">
        <f aca="false">IFERROR(((C$33*$C$6-$C$7)-$C$13*MAX(0,(C$33*$C$6-$C$7)-($B40*$C$8*(1+$C$12)+$C$10+$C$11-$C$9)))/($B40*$C$8*(1+$C$12)+$C$10+$C$11-$C$9),0)</f>
        <v>1.32607615961837</v>
      </c>
      <c r="D40" s="37" t="n">
        <f aca="false">IFERROR(((D$33*$C$6-$C$7)-$C$13*MAX(0,(D$33*$C$6-$C$7)-($B40*$C$8*(1+$C$12)+$C$10+$C$11-$C$9)))/($B40*$C$8*(1+$C$12)+$C$10+$C$11-$C$9),0)</f>
        <v>1.5057887490631</v>
      </c>
      <c r="E40" s="37" t="n">
        <f aca="false">IFERROR(((E$33*$C$6-$C$7)-$C$13*MAX(0,(E$33*$C$6-$C$7)-($B40*$C$8*(1+$C$12)+$C$10+$C$11-$C$9)))/($B40*$C$8*(1+$C$12)+$C$10+$C$11-$C$9),0)</f>
        <v>1.68550133850784</v>
      </c>
      <c r="F40" s="37" t="n">
        <f aca="false">IFERROR(((F$33*$C$6-$C$7)-$C$13*MAX(0,(F$33*$C$6-$C$7)-($B40*$C$8*(1+$C$12)+$C$10+$C$11-$C$9)))/($B40*$C$8*(1+$C$12)+$C$10+$C$11-$C$9),0)</f>
        <v>1.86521392795257</v>
      </c>
      <c r="G40" s="37" t="n">
        <f aca="false">IFERROR(((G$33*$C$6-$C$7)-$C$13*MAX(0,(G$33*$C$6-$C$7)-($B40*$C$8*(1+$C$12)+$C$10+$C$11-$C$9)))/($B40*$C$8*(1+$C$12)+$C$10+$C$11-$C$9),0)</f>
        <v>2.0449265173973</v>
      </c>
    </row>
    <row r="43" customFormat="false" ht="15" hidden="false" customHeight="false" outlineLevel="0" collapsed="false">
      <c r="B43" s="55" t="s">
        <v>281</v>
      </c>
    </row>
    <row r="44" customFormat="false" ht="15" hidden="false" customHeight="false" outlineLevel="0" collapsed="false">
      <c r="B44" s="56" t="s">
        <v>282</v>
      </c>
      <c r="C44" s="57" t="n">
        <f aca="false">$C$15+-2*$C$18</f>
        <v>9</v>
      </c>
      <c r="D44" s="57" t="n">
        <f aca="false">$C$15+-1*$C$18</f>
        <v>10</v>
      </c>
      <c r="E44" s="57" t="n">
        <f aca="false">$C$15+0*$C$18</f>
        <v>11</v>
      </c>
      <c r="F44" s="57" t="n">
        <f aca="false">$C$15+1*$C$18</f>
        <v>12</v>
      </c>
      <c r="G44" s="57" t="n">
        <f aca="false">$C$15+2*$C$18</f>
        <v>13</v>
      </c>
    </row>
    <row r="45" customFormat="false" ht="15" hidden="false" customHeight="false" outlineLevel="0" collapsed="false">
      <c r="B45" s="59" t="n">
        <v>3</v>
      </c>
      <c r="C45" s="38" t="n">
        <f aca="false">IF(((C$44*INDEX('Operating Model'!$D$9:$H$9,$B45)-INDEX('Debt Schedule'!$D$35:$H$35,$B45))-$C$13*MAX(0,(C$44*INDEX('Operating Model'!$D$9:$H$9,$B45)-INDEX('Debt Schedule'!$D$35:$H$35,$B45))-$C$16))&gt;0,(((C$44*INDEX('Operating Model'!$D$9:$H$9,$B45)-INDEX('Debt Schedule'!$D$35:$H$35,$B45))-$C$13*MAX(0,(C$44*INDEX('Operating Model'!$D$9:$H$9,$B45)-INDEX('Debt Schedule'!$D$35:$H$35,$B45))-$C$16))/$C$16)^(1/$B45)-1,-1)</f>
        <v>0.0667467929341306</v>
      </c>
      <c r="D45" s="38" t="n">
        <f aca="false">IF(((D$44*INDEX('Operating Model'!$D$9:$H$9,$B45)-INDEX('Debt Schedule'!$D$35:$H$35,$B45))-$C$13*MAX(0,(D$44*INDEX('Operating Model'!$D$9:$H$9,$B45)-INDEX('Debt Schedule'!$D$35:$H$35,$B45))-$C$16))&gt;0,(((D$44*INDEX('Operating Model'!$D$9:$H$9,$B45)-INDEX('Debt Schedule'!$D$35:$H$35,$B45))-$C$13*MAX(0,(D$44*INDEX('Operating Model'!$D$9:$H$9,$B45)-INDEX('Debt Schedule'!$D$35:$H$35,$B45))-$C$16))/$C$16)^(1/$B45)-1,-1)</f>
        <v>0.121726082436977</v>
      </c>
      <c r="E45" s="38" t="n">
        <f aca="false">IF(((E$44*INDEX('Operating Model'!$D$9:$H$9,$B45)-INDEX('Debt Schedule'!$D$35:$H$35,$B45))-$C$13*MAX(0,(E$44*INDEX('Operating Model'!$D$9:$H$9,$B45)-INDEX('Debt Schedule'!$D$35:$H$35,$B45))-$C$16))&gt;0,(((E$44*INDEX('Operating Model'!$D$9:$H$9,$B45)-INDEX('Debt Schedule'!$D$35:$H$35,$B45))-$C$13*MAX(0,(E$44*INDEX('Operating Model'!$D$9:$H$9,$B45)-INDEX('Debt Schedule'!$D$35:$H$35,$B45))-$C$16))/$C$16)^(1/$B45)-1,-1)</f>
        <v>0.171787287254785</v>
      </c>
      <c r="F45" s="38" t="n">
        <f aca="false">IF(((F$44*INDEX('Operating Model'!$D$9:$H$9,$B45)-INDEX('Debt Schedule'!$D$35:$H$35,$B45))-$C$13*MAX(0,(F$44*INDEX('Operating Model'!$D$9:$H$9,$B45)-INDEX('Debt Schedule'!$D$35:$H$35,$B45))-$C$16))&gt;0,(((F$44*INDEX('Operating Model'!$D$9:$H$9,$B45)-INDEX('Debt Schedule'!$D$35:$H$35,$B45))-$C$13*MAX(0,(F$44*INDEX('Operating Model'!$D$9:$H$9,$B45)-INDEX('Debt Schedule'!$D$35:$H$35,$B45))-$C$16))/$C$16)^(1/$B45)-1,-1)</f>
        <v>0.217901645147506</v>
      </c>
      <c r="G45" s="38" t="n">
        <f aca="false">IF(((G$44*INDEX('Operating Model'!$D$9:$H$9,$B45)-INDEX('Debt Schedule'!$D$35:$H$35,$B45))-$C$13*MAX(0,(G$44*INDEX('Operating Model'!$D$9:$H$9,$B45)-INDEX('Debt Schedule'!$D$35:$H$35,$B45))-$C$16))&gt;0,(((G$44*INDEX('Operating Model'!$D$9:$H$9,$B45)-INDEX('Debt Schedule'!$D$35:$H$35,$B45))-$C$13*MAX(0,(G$44*INDEX('Operating Model'!$D$9:$H$9,$B45)-INDEX('Debt Schedule'!$D$35:$H$35,$B45))-$C$16))/$C$16)^(1/$B45)-1,-1)</f>
        <v>0.260765679191121</v>
      </c>
    </row>
    <row r="46" customFormat="false" ht="15" hidden="false" customHeight="false" outlineLevel="0" collapsed="false">
      <c r="B46" s="59" t="n">
        <v>4</v>
      </c>
      <c r="C46" s="38" t="n">
        <f aca="false">IF(((C$44*INDEX('Operating Model'!$D$9:$H$9,$B46)-INDEX('Debt Schedule'!$D$35:$H$35,$B46))-$C$13*MAX(0,(C$44*INDEX('Operating Model'!$D$9:$H$9,$B46)-INDEX('Debt Schedule'!$D$35:$H$35,$B46))-$C$16))&gt;0,(((C$44*INDEX('Operating Model'!$D$9:$H$9,$B46)-INDEX('Debt Schedule'!$D$35:$H$35,$B46))-$C$13*MAX(0,(C$44*INDEX('Operating Model'!$D$9:$H$9,$B46)-INDEX('Debt Schedule'!$D$35:$H$35,$B46))-$C$16))/$C$16)^(1/$B46)-1,-1)</f>
        <v>0.096980788963988</v>
      </c>
      <c r="D46" s="38" t="n">
        <f aca="false">IF(((D$44*INDEX('Operating Model'!$D$9:$H$9,$B46)-INDEX('Debt Schedule'!$D$35:$H$35,$B46))-$C$13*MAX(0,(D$44*INDEX('Operating Model'!$D$9:$H$9,$B46)-INDEX('Debt Schedule'!$D$35:$H$35,$B46))-$C$16))&gt;0,(((D$44*INDEX('Operating Model'!$D$9:$H$9,$B46)-INDEX('Debt Schedule'!$D$35:$H$35,$B46))-$C$13*MAX(0,(D$44*INDEX('Operating Model'!$D$9:$H$9,$B46)-INDEX('Debt Schedule'!$D$35:$H$35,$B46))-$C$16))/$C$16)^(1/$B46)-1,-1)</f>
        <v>0.135481825772055</v>
      </c>
      <c r="E46" s="38" t="n">
        <f aca="false">IF(((E$44*INDEX('Operating Model'!$D$9:$H$9,$B46)-INDEX('Debt Schedule'!$D$35:$H$35,$B46))-$C$13*MAX(0,(E$44*INDEX('Operating Model'!$D$9:$H$9,$B46)-INDEX('Debt Schedule'!$D$35:$H$35,$B46))-$C$16))&gt;0,(((E$44*INDEX('Operating Model'!$D$9:$H$9,$B46)-INDEX('Debt Schedule'!$D$35:$H$35,$B46))-$C$13*MAX(0,(E$44*INDEX('Operating Model'!$D$9:$H$9,$B46)-INDEX('Debt Schedule'!$D$35:$H$35,$B46))-$C$16))/$C$16)^(1/$B46)-1,-1)</f>
        <v>0.17042244788023</v>
      </c>
      <c r="F46" s="38" t="n">
        <f aca="false">IF(((F$44*INDEX('Operating Model'!$D$9:$H$9,$B46)-INDEX('Debt Schedule'!$D$35:$H$35,$B46))-$C$13*MAX(0,(F$44*INDEX('Operating Model'!$D$9:$H$9,$B46)-INDEX('Debt Schedule'!$D$35:$H$35,$B46))-$C$16))&gt;0,(((F$44*INDEX('Operating Model'!$D$9:$H$9,$B46)-INDEX('Debt Schedule'!$D$35:$H$35,$B46))-$C$13*MAX(0,(F$44*INDEX('Operating Model'!$D$9:$H$9,$B46)-INDEX('Debt Schedule'!$D$35:$H$35,$B46))-$C$16))/$C$16)^(1/$B46)-1,-1)</f>
        <v>0.202487439261911</v>
      </c>
      <c r="G46" s="38" t="n">
        <f aca="false">IF(((G$44*INDEX('Operating Model'!$D$9:$H$9,$B46)-INDEX('Debt Schedule'!$D$35:$H$35,$B46))-$C$13*MAX(0,(G$44*INDEX('Operating Model'!$D$9:$H$9,$B46)-INDEX('Debt Schedule'!$D$35:$H$35,$B46))-$C$16))&gt;0,(((G$44*INDEX('Operating Model'!$D$9:$H$9,$B46)-INDEX('Debt Schedule'!$D$35:$H$35,$B46))-$C$13*MAX(0,(G$44*INDEX('Operating Model'!$D$9:$H$9,$B46)-INDEX('Debt Schedule'!$D$35:$H$35,$B46))-$C$16))/$C$16)^(1/$B46)-1,-1)</f>
        <v>0.232174921440904</v>
      </c>
    </row>
    <row r="47" customFormat="false" ht="15" hidden="false" customHeight="false" outlineLevel="0" collapsed="false">
      <c r="B47" s="59" t="n">
        <v>5</v>
      </c>
      <c r="C47" s="38" t="n">
        <f aca="false">IF(((C$44*INDEX('Operating Model'!$D$9:$H$9,$B47)-INDEX('Debt Schedule'!$D$35:$H$35,$B47))-$C$13*MAX(0,(C$44*INDEX('Operating Model'!$D$9:$H$9,$B47)-INDEX('Debt Schedule'!$D$35:$H$35,$B47))-$C$16))&gt;0,(((C$44*INDEX('Operating Model'!$D$9:$H$9,$B47)-INDEX('Debt Schedule'!$D$35:$H$35,$B47))-$C$13*MAX(0,(C$44*INDEX('Operating Model'!$D$9:$H$9,$B47)-INDEX('Debt Schedule'!$D$35:$H$35,$B47))-$C$16))/$C$16)^(1/$B47)-1,-1)</f>
        <v>0.10397744148443</v>
      </c>
      <c r="D47" s="38" t="n">
        <f aca="false">IF(((D$44*INDEX('Operating Model'!$D$9:$H$9,$B47)-INDEX('Debt Schedule'!$D$35:$H$35,$B47))-$C$13*MAX(0,(D$44*INDEX('Operating Model'!$D$9:$H$9,$B47)-INDEX('Debt Schedule'!$D$35:$H$35,$B47))-$C$16))&gt;0,(((D$44*INDEX('Operating Model'!$D$9:$H$9,$B47)-INDEX('Debt Schedule'!$D$35:$H$35,$B47))-$C$13*MAX(0,(D$44*INDEX('Operating Model'!$D$9:$H$9,$B47)-INDEX('Debt Schedule'!$D$35:$H$35,$B47))-$C$16))/$C$16)^(1/$B47)-1,-1)</f>
        <v>0.132730421903602</v>
      </c>
      <c r="E47" s="38" t="n">
        <f aca="false">IF(((E$44*INDEX('Operating Model'!$D$9:$H$9,$B47)-INDEX('Debt Schedule'!$D$35:$H$35,$B47))-$C$13*MAX(0,(E$44*INDEX('Operating Model'!$D$9:$H$9,$B47)-INDEX('Debt Schedule'!$D$35:$H$35,$B47))-$C$16))&gt;0,(((E$44*INDEX('Operating Model'!$D$9:$H$9,$B47)-INDEX('Debt Schedule'!$D$35:$H$35,$B47))-$C$13*MAX(0,(E$44*INDEX('Operating Model'!$D$9:$H$9,$B47)-INDEX('Debt Schedule'!$D$35:$H$35,$B47))-$C$16))/$C$16)^(1/$B47)-1,-1)</f>
        <v>0.158829542925986</v>
      </c>
      <c r="F47" s="38" t="n">
        <f aca="false">IF(((F$44*INDEX('Operating Model'!$D$9:$H$9,$B47)-INDEX('Debt Schedule'!$D$35:$H$35,$B47))-$C$13*MAX(0,(F$44*INDEX('Operating Model'!$D$9:$H$9,$B47)-INDEX('Debt Schedule'!$D$35:$H$35,$B47))-$C$16))&gt;0,(((F$44*INDEX('Operating Model'!$D$9:$H$9,$B47)-INDEX('Debt Schedule'!$D$35:$H$35,$B47))-$C$13*MAX(0,(F$44*INDEX('Operating Model'!$D$9:$H$9,$B47)-INDEX('Debt Schedule'!$D$35:$H$35,$B47))-$C$16))/$C$16)^(1/$B47)-1,-1)</f>
        <v>0.182769455832215</v>
      </c>
      <c r="G47" s="38" t="n">
        <f aca="false">IF(((G$44*INDEX('Operating Model'!$D$9:$H$9,$B47)-INDEX('Debt Schedule'!$D$35:$H$35,$B47))-$C$13*MAX(0,(G$44*INDEX('Operating Model'!$D$9:$H$9,$B47)-INDEX('Debt Schedule'!$D$35:$H$35,$B47))-$C$16))&gt;0,(((G$44*INDEX('Operating Model'!$D$9:$H$9,$B47)-INDEX('Debt Schedule'!$D$35:$H$35,$B47))-$C$13*MAX(0,(G$44*INDEX('Operating Model'!$D$9:$H$9,$B47)-INDEX('Debt Schedule'!$D$35:$H$35,$B47))-$C$16))/$C$16)^(1/$B47)-1,-1)</f>
        <v>0.204914736710619</v>
      </c>
    </row>
    <row r="50" customFormat="false" ht="15" hidden="false" customHeight="false" outlineLevel="0" collapsed="false">
      <c r="B50" s="55" t="s">
        <v>283</v>
      </c>
    </row>
    <row r="51" customFormat="false" ht="15" hidden="false" customHeight="false" outlineLevel="0" collapsed="false">
      <c r="B51" s="56" t="s">
        <v>284</v>
      </c>
      <c r="C51" s="60" t="n">
        <v>9</v>
      </c>
      <c r="D51" s="60" t="n">
        <v>10</v>
      </c>
      <c r="E51" s="60" t="n">
        <v>11</v>
      </c>
      <c r="F51" s="60" t="n">
        <v>12</v>
      </c>
      <c r="G51" s="60" t="n">
        <v>13</v>
      </c>
    </row>
    <row r="52" customFormat="false" ht="15" hidden="false" customHeight="false" outlineLevel="0" collapsed="false">
      <c r="B52" s="61" t="n">
        <v>3</v>
      </c>
      <c r="C52" s="38" t="n">
        <v>0.0987097197246936</v>
      </c>
      <c r="D52" s="38" t="n">
        <v>0.124113582764666</v>
      </c>
      <c r="E52" s="38" t="n">
        <v>0.147409148879273</v>
      </c>
      <c r="F52" s="38" t="n">
        <v>0.168953413822848</v>
      </c>
      <c r="G52" s="38" t="n">
        <v>0.189017362375833</v>
      </c>
    </row>
    <row r="53" customFormat="false" ht="15" hidden="false" customHeight="false" outlineLevel="0" collapsed="false">
      <c r="B53" s="61" t="n">
        <v>3.5</v>
      </c>
      <c r="C53" s="38" t="n">
        <v>0.101215943082062</v>
      </c>
      <c r="D53" s="38" t="n">
        <v>0.128185087162844</v>
      </c>
      <c r="E53" s="38" t="n">
        <v>0.152797709317289</v>
      </c>
      <c r="F53" s="38" t="n">
        <v>0.175471890021661</v>
      </c>
      <c r="G53" s="38" t="n">
        <v>0.19652059668794</v>
      </c>
    </row>
    <row r="54" customFormat="false" ht="15" hidden="false" customHeight="false" outlineLevel="0" collapsed="false">
      <c r="B54" s="61" t="n">
        <v>4</v>
      </c>
      <c r="C54" s="38" t="n">
        <v>0.10397744148443</v>
      </c>
      <c r="D54" s="38" t="n">
        <v>0.132730421903602</v>
      </c>
      <c r="E54" s="38" t="n">
        <v>0.158829542925986</v>
      </c>
      <c r="F54" s="38" t="n">
        <v>0.182769455832214</v>
      </c>
      <c r="G54" s="38" t="n">
        <v>0.204914736710619</v>
      </c>
    </row>
    <row r="55" customFormat="false" ht="15" hidden="false" customHeight="false" outlineLevel="0" collapsed="false">
      <c r="B55" s="61" t="n">
        <v>4.5</v>
      </c>
      <c r="C55" s="38" t="n">
        <v>0.107037849455431</v>
      </c>
      <c r="D55" s="38" t="n">
        <v>0.137844635913376</v>
      </c>
      <c r="E55" s="38" t="n">
        <v>0.165636600883112</v>
      </c>
      <c r="F55" s="38" t="n">
        <v>0.191005925447974</v>
      </c>
      <c r="G55" s="38" t="n">
        <v>0.214381496435265</v>
      </c>
    </row>
    <row r="56" customFormat="false" ht="15" hidden="false" customHeight="false" outlineLevel="0" collapsed="false">
      <c r="B56" s="61" t="n">
        <v>5</v>
      </c>
      <c r="C56" s="38" t="n">
        <v>0.110373177551133</v>
      </c>
      <c r="D56" s="38" t="n">
        <v>0.143581954931108</v>
      </c>
      <c r="E56" s="38" t="n">
        <v>0.173328876647485</v>
      </c>
      <c r="F56" s="38" t="n">
        <v>0.200333271132069</v>
      </c>
      <c r="G56" s="38" t="n">
        <v>0.225105802550773</v>
      </c>
    </row>
    <row r="59" customFormat="false" ht="15" hidden="false" customHeight="false" outlineLevel="0" collapsed="false">
      <c r="B59" s="55" t="s">
        <v>285</v>
      </c>
    </row>
    <row r="60" customFormat="false" ht="15" hidden="false" customHeight="false" outlineLevel="0" collapsed="false">
      <c r="B60" s="56" t="s">
        <v>286</v>
      </c>
      <c r="C60" s="62" t="n">
        <v>-0.03</v>
      </c>
      <c r="D60" s="62" t="n">
        <v>-0.015</v>
      </c>
      <c r="E60" s="62" t="n">
        <v>0</v>
      </c>
      <c r="F60" s="62" t="n">
        <v>0.015</v>
      </c>
      <c r="G60" s="62" t="n">
        <v>0.03</v>
      </c>
    </row>
    <row r="61" customFormat="false" ht="15" hidden="false" customHeight="false" outlineLevel="0" collapsed="false">
      <c r="B61" s="63" t="n">
        <v>-0.03</v>
      </c>
      <c r="C61" s="38" t="n">
        <v>0.055623855033238</v>
      </c>
      <c r="D61" s="38" t="n">
        <v>0.0794679186350167</v>
      </c>
      <c r="E61" s="38" t="n">
        <v>0.102548977823413</v>
      </c>
      <c r="F61" s="38" t="n">
        <v>0.124826877805958</v>
      </c>
      <c r="G61" s="38" t="n">
        <v>0.146539285792337</v>
      </c>
    </row>
    <row r="62" customFormat="false" ht="15" hidden="false" customHeight="false" outlineLevel="0" collapsed="false">
      <c r="B62" s="63" t="n">
        <v>-0.015</v>
      </c>
      <c r="C62" s="38" t="n">
        <v>0.086797821543797</v>
      </c>
      <c r="D62" s="38" t="n">
        <v>0.10984105319686</v>
      </c>
      <c r="E62" s="38" t="n">
        <v>0.132192227121701</v>
      </c>
      <c r="F62" s="38" t="n">
        <v>0.153898957774071</v>
      </c>
      <c r="G62" s="38" t="n">
        <v>0.17514352134241</v>
      </c>
    </row>
    <row r="63" customFormat="false" ht="15" hidden="false" customHeight="false" outlineLevel="0" collapsed="false">
      <c r="B63" s="63" t="n">
        <v>0</v>
      </c>
      <c r="C63" s="38" t="n">
        <v>0.114596210417995</v>
      </c>
      <c r="D63" s="38" t="n">
        <v>0.136990960479931</v>
      </c>
      <c r="E63" s="38" t="n">
        <v>0.158829542925986</v>
      </c>
      <c r="F63" s="38" t="n">
        <v>0.180216804209808</v>
      </c>
      <c r="G63" s="38" t="n">
        <v>0.201148914427664</v>
      </c>
    </row>
    <row r="64" customFormat="false" ht="15" hidden="false" customHeight="false" outlineLevel="0" collapsed="false">
      <c r="B64" s="63" t="n">
        <v>0.015</v>
      </c>
      <c r="C64" s="38" t="n">
        <v>0.139658808040066</v>
      </c>
      <c r="D64" s="38" t="n">
        <v>0.161663193374989</v>
      </c>
      <c r="E64" s="38" t="n">
        <v>0.183153679335139</v>
      </c>
      <c r="F64" s="38" t="n">
        <v>0.20424238132495</v>
      </c>
      <c r="G64" s="38" t="n">
        <v>0.224988752644116</v>
      </c>
    </row>
    <row r="65" customFormat="false" ht="15" hidden="false" customHeight="false" outlineLevel="0" collapsed="false">
      <c r="B65" s="63" t="n">
        <v>0.03</v>
      </c>
      <c r="C65" s="38" t="n">
        <v>0.162601937851192</v>
      </c>
      <c r="D65" s="38" t="n">
        <v>0.184267578073786</v>
      </c>
      <c r="E65" s="38" t="n">
        <v>0.205544462061001</v>
      </c>
      <c r="F65" s="38" t="n">
        <v>0.226477614277204</v>
      </c>
      <c r="G65" s="38" t="n">
        <v>0.247105404211892</v>
      </c>
    </row>
  </sheetData>
  <conditionalFormatting sqref="C23:G2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34:G40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45:G4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52:G56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61:G65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27" t="s">
        <v>287</v>
      </c>
    </row>
    <row r="2" customFormat="false" ht="15" hidden="false" customHeight="false" outlineLevel="0" collapsed="false">
      <c r="A2" s="2" t="s">
        <v>288</v>
      </c>
    </row>
    <row r="4" customFormat="false" ht="15" hidden="false" customHeight="false" outlineLevel="0" collapsed="false">
      <c r="A4" s="28" t="s">
        <v>289</v>
      </c>
      <c r="B4" s="29" t="s">
        <v>290</v>
      </c>
      <c r="C4" s="29" t="s">
        <v>291</v>
      </c>
      <c r="D4" s="29" t="s">
        <v>292</v>
      </c>
      <c r="E4" s="29" t="s">
        <v>293</v>
      </c>
    </row>
    <row r="5" customFormat="false" ht="15" hidden="false" customHeight="false" outlineLevel="0" collapsed="false">
      <c r="A5" s="5" t="s">
        <v>294</v>
      </c>
      <c r="B5" s="39" t="n">
        <v>675.365061</v>
      </c>
      <c r="C5" s="39" t="n">
        <v>741.4029144</v>
      </c>
      <c r="D5" s="39" t="n">
        <v>524.6108064</v>
      </c>
      <c r="E5" s="39" t="n">
        <f aca="false">INDEX('Operating Model'!$D7:$H7,Assumptions!$C$20)</f>
        <v>675.365061</v>
      </c>
    </row>
    <row r="6" customFormat="false" ht="15" hidden="false" customHeight="false" outlineLevel="0" collapsed="false">
      <c r="A6" s="5" t="s">
        <v>226</v>
      </c>
      <c r="B6" s="39" t="n">
        <v>148.58031342</v>
      </c>
      <c r="C6" s="39" t="n">
        <v>177.936699456</v>
      </c>
      <c r="D6" s="39" t="n">
        <v>99.676053216</v>
      </c>
      <c r="E6" s="39" t="n">
        <f aca="false">INDEX('Operating Model'!$D9:$H9,Assumptions!$C$20)</f>
        <v>148.58031342</v>
      </c>
    </row>
    <row r="7" customFormat="false" ht="15" hidden="false" customHeight="false" outlineLevel="0" collapsed="false">
      <c r="A7" s="5" t="s">
        <v>295</v>
      </c>
      <c r="B7" s="38" t="n">
        <v>0.22</v>
      </c>
      <c r="C7" s="38" t="n">
        <v>0.24</v>
      </c>
      <c r="D7" s="38" t="n">
        <v>0.19</v>
      </c>
      <c r="E7" s="38" t="n">
        <f aca="false">E6/E5</f>
        <v>0.22</v>
      </c>
    </row>
    <row r="8" customFormat="false" ht="15" hidden="false" customHeight="false" outlineLevel="0" collapsed="false">
      <c r="A8" s="5" t="s">
        <v>296</v>
      </c>
      <c r="B8" s="39" t="n">
        <v>222.990960643611</v>
      </c>
      <c r="C8" s="39" t="n">
        <v>276.550473261212</v>
      </c>
      <c r="D8" s="39" t="n">
        <v>99.1577723703465</v>
      </c>
      <c r="E8" s="39" t="n">
        <f aca="false">SUMIF(Returns!$D$7:$H$7,"&lt;="&amp;Assumptions!$C$20,'Operating Model'!$D$33:$H$33)</f>
        <v>222.990960643611</v>
      </c>
    </row>
    <row r="9" customFormat="false" ht="15" hidden="false" customHeight="false" outlineLevel="0" collapsed="false">
      <c r="A9" s="5" t="s">
        <v>297</v>
      </c>
      <c r="B9" s="37" t="n">
        <v>2.06628342806459</v>
      </c>
      <c r="C9" s="37" t="n">
        <v>1.42438028531299</v>
      </c>
      <c r="D9" s="37" t="n">
        <v>4.32242463188234</v>
      </c>
      <c r="E9" s="37" t="n">
        <f aca="false">INDEX('Credit Stats'!$D$8:$H$8,Assumptions!$C$20)</f>
        <v>2.06628342806459</v>
      </c>
    </row>
    <row r="10" customFormat="false" ht="15" hidden="false" customHeight="false" outlineLevel="0" collapsed="false">
      <c r="A10" s="5" t="s">
        <v>298</v>
      </c>
      <c r="B10" s="37" t="n">
        <v>2.42375690607735</v>
      </c>
      <c r="C10" s="37" t="n">
        <v>2.5292817679558</v>
      </c>
      <c r="D10" s="37" t="n">
        <v>1.99039669312594</v>
      </c>
      <c r="E10" s="37" t="n">
        <f aca="false">MIN('Credit Stats'!$D$12:$H$12)</f>
        <v>2.42375690607735</v>
      </c>
    </row>
    <row r="11" customFormat="false" ht="15" hidden="false" customHeight="false" outlineLevel="0" collapsed="false">
      <c r="A11" s="5" t="s">
        <v>299</v>
      </c>
      <c r="B11" s="39" t="n">
        <v>0</v>
      </c>
      <c r="C11" s="39" t="n">
        <v>0</v>
      </c>
      <c r="D11" s="39" t="n">
        <v>0</v>
      </c>
      <c r="E11" s="39" t="n">
        <f aca="false">MAX('Debt Schedule'!$C$20:$H$20)</f>
        <v>0</v>
      </c>
    </row>
    <row r="12" customFormat="false" ht="15" hidden="false" customHeight="false" outlineLevel="0" collapsed="false">
      <c r="A12" s="5" t="s">
        <v>300</v>
      </c>
      <c r="B12" s="50" t="n">
        <v>0</v>
      </c>
      <c r="C12" s="50" t="n">
        <v>0</v>
      </c>
      <c r="D12" s="50" t="n">
        <v>0</v>
      </c>
      <c r="E12" s="50" t="n">
        <f aca="false">COUNTIF('Credit Stats'!$D$24:$H$24,"BREACH")</f>
        <v>0</v>
      </c>
    </row>
    <row r="13" customFormat="false" ht="15" hidden="false" customHeight="false" outlineLevel="0" collapsed="false">
      <c r="A13" s="5" t="s">
        <v>301</v>
      </c>
      <c r="B13" s="39" t="n">
        <v>1327.37440826361</v>
      </c>
      <c r="C13" s="39" t="n">
        <v>1703.85416727721</v>
      </c>
      <c r="D13" s="39" t="n">
        <v>665.594357746347</v>
      </c>
      <c r="E13" s="39" t="n">
        <f aca="false">INDEX(Returns!$D$11:$H$11,Assumptions!$C$20)</f>
        <v>1327.37440826361</v>
      </c>
    </row>
    <row r="14" customFormat="false" ht="15" hidden="false" customHeight="false" outlineLevel="0" collapsed="false">
      <c r="A14" s="20" t="s">
        <v>11</v>
      </c>
      <c r="B14" s="37" t="n">
        <v>2.08976664160053</v>
      </c>
      <c r="C14" s="37" t="n">
        <v>2.65979153901672</v>
      </c>
      <c r="D14" s="37" t="n">
        <v>1.0877709263553</v>
      </c>
      <c r="E14" s="14" t="n">
        <f aca="false">Returns!C22</f>
        <v>2.08976664160053</v>
      </c>
    </row>
    <row r="15" customFormat="false" ht="15" hidden="false" customHeight="false" outlineLevel="0" collapsed="false">
      <c r="A15" s="20" t="s">
        <v>9</v>
      </c>
      <c r="B15" s="38" t="n">
        <v>0.158829542925986</v>
      </c>
      <c r="C15" s="38" t="n">
        <v>0.216100648402274</v>
      </c>
      <c r="D15" s="38" t="n">
        <v>0.016968472533623</v>
      </c>
      <c r="E15" s="19" t="n">
        <f aca="false">Returns!C23</f>
        <v>0.158829542925986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27" t="s">
        <v>302</v>
      </c>
    </row>
    <row r="4" customFormat="false" ht="15" hidden="false" customHeight="false" outlineLevel="0" collapsed="false">
      <c r="A4" s="3" t="s">
        <v>303</v>
      </c>
      <c r="B4" s="3" t="s">
        <v>304</v>
      </c>
      <c r="C4" s="3" t="s">
        <v>305</v>
      </c>
    </row>
    <row r="5" customFormat="false" ht="15" hidden="false" customHeight="false" outlineLevel="0" collapsed="false">
      <c r="A5" s="5" t="s">
        <v>306</v>
      </c>
      <c r="B5" s="64" t="n">
        <f aca="false">ROUND(Transaction!$C$17-Transaction!$C$24,6)</f>
        <v>0</v>
      </c>
      <c r="C5" s="65" t="str">
        <f aca="false">IF(ABS(B5)&lt;0.0001,"OK","ERROR")</f>
        <v>OK</v>
      </c>
    </row>
    <row r="6" customFormat="false" ht="15" hidden="false" customHeight="false" outlineLevel="0" collapsed="false">
      <c r="A6" s="5" t="s">
        <v>307</v>
      </c>
      <c r="B6" s="64" t="n">
        <f aca="false">MAX(ABS(MIN('Balance Sheet'!C24:H24)),ABS(MAX('Balance Sheet'!C24:H24)))</f>
        <v>0</v>
      </c>
      <c r="C6" s="65" t="str">
        <f aca="false">IF(ABS(B6)&lt;0.0001,"OK","ERROR")</f>
        <v>OK</v>
      </c>
    </row>
    <row r="7" customFormat="false" ht="15" hidden="false" customHeight="false" outlineLevel="0" collapsed="false">
      <c r="A7" s="5" t="s">
        <v>308</v>
      </c>
      <c r="B7" s="64" t="n">
        <f aca="false">MAX(0,Assumptions!$C$17-MIN('Debt Schedule'!D15:H15))</f>
        <v>0</v>
      </c>
      <c r="C7" s="65" t="str">
        <f aca="false">IF(ABS(B7)&lt;0.0001,"OK","ERROR")</f>
        <v>OK</v>
      </c>
    </row>
    <row r="8" customFormat="false" ht="15" hidden="false" customHeight="false" outlineLevel="0" collapsed="false">
      <c r="A8" s="5" t="s">
        <v>309</v>
      </c>
      <c r="B8" s="64" t="n">
        <f aca="false">MAX(0,MAX('Debt Schedule'!C20:H20)-Assumptions!$C$25)</f>
        <v>0</v>
      </c>
      <c r="C8" s="65" t="str">
        <f aca="false">IF(ABS(B8)&lt;0.0001,"OK","ERROR")</f>
        <v>OK</v>
      </c>
    </row>
    <row r="9" customFormat="false" ht="15" hidden="false" customHeight="false" outlineLevel="0" collapsed="false">
      <c r="A9" s="5" t="s">
        <v>310</v>
      </c>
      <c r="B9" s="64" t="n">
        <f aca="false">MAX(0,-MIN('Debt Schedule'!C27:H27,'Debt Schedule'!C20:H20))</f>
        <v>-0</v>
      </c>
      <c r="C9" s="65" t="str">
        <f aca="false">IF(ABS(B9)&lt;0.0001,"OK","ERROR")</f>
        <v>OK</v>
      </c>
    </row>
    <row r="10" customFormat="false" ht="15" hidden="false" customHeight="false" outlineLevel="0" collapsed="false">
      <c r="A10" s="5" t="s">
        <v>311</v>
      </c>
      <c r="B10" s="64" t="n">
        <f aca="false">ROUND(Returns!C23-Returns!C25,6)</f>
        <v>0</v>
      </c>
      <c r="C10" s="65" t="str">
        <f aca="false">IF(ABS(B10)&lt;0.0001,"OK","ERROR")</f>
        <v>OK</v>
      </c>
    </row>
    <row r="11" customFormat="false" ht="15" hidden="false" customHeight="false" outlineLevel="0" collapsed="false">
      <c r="A11" s="5" t="s">
        <v>312</v>
      </c>
      <c r="B11" s="66" t="n">
        <f aca="false">Returns!C35</f>
        <v>0</v>
      </c>
      <c r="C11" s="65" t="str">
        <f aca="false">IF(ABS(B11)&lt;0.0001,"OK","ERROR")</f>
        <v>OK</v>
      </c>
    </row>
    <row r="12" customFormat="false" ht="15" hidden="false" customHeight="false" outlineLevel="0" collapsed="false">
      <c r="A12" s="5" t="s">
        <v>313</v>
      </c>
      <c r="B12" s="64" t="n">
        <f aca="false">IF(AND(Assumptions!$C$20&gt;=1,Assumptions!$C$20&lt;=5,Assumptions!$C$20=INT(Assumptions!$C$20)),0,1)</f>
        <v>0</v>
      </c>
      <c r="C12" s="65" t="str">
        <f aca="false">IF(ABS(B12)&lt;0.0001,"OK","ERROR")</f>
        <v>OK</v>
      </c>
    </row>
    <row r="13" customFormat="false" ht="15" hidden="false" customHeight="false" outlineLevel="0" collapsed="false">
      <c r="A13" s="5" t="s">
        <v>314</v>
      </c>
      <c r="B13" s="64" t="n">
        <f aca="false">IF(OR(Assumptions!$C$7=1,Assumptions!$C$7=2,Assumptions!$C$7=3),0,1)</f>
        <v>0</v>
      </c>
      <c r="C13" s="65" t="str">
        <f aca="false">IF(ABS(B13)&lt;0.0001,"OK","ERROR")</f>
        <v>OK</v>
      </c>
    </row>
    <row r="15" customFormat="false" ht="15" hidden="false" customHeight="false" outlineLevel="0" collapsed="false">
      <c r="A15" s="67" t="s">
        <v>315</v>
      </c>
      <c r="C15" s="65" t="str">
        <f aca="false">IF(COUNTIF(C5:C13,"OK")=9,"ALL OK","CHECK MODEL")</f>
        <v>ALL OK</v>
      </c>
    </row>
  </sheetData>
  <conditionalFormatting sqref="C5:C15">
    <cfRule type="expression" priority="2" aboveAverage="0" equalAverage="0" bottom="0" percent="0" rank="0" text="" dxfId="0">
      <formula>OR(C5="ERROR",C5="CHECK MODEL")</formula>
    </cfRule>
    <cfRule type="expression" priority="3" aboveAverage="0" equalAverage="0" bottom="0" percent="0" rank="0" text="" dxfId="1">
      <formula>OR(C5="OK",C5="ALL OK")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2026-10-28T07:12:41Z</dcterms:created>
  <dc:creator>openpyxl</dc:creator>
  <dc:description/>
  <dc:language>en-US</dc:language>
  <cp:lastModifiedBy/>
  <dcterms:modified xsi:type="dcterms:W3CDTF">2026-10-28T07:12:41Z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